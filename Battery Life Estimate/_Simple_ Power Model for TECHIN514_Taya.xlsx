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stem Parameters" sheetId="1" r:id="rId5"/>
    <sheet state="visible" name="Sensitivity Analysis" sheetId="2" r:id="rId6"/>
  </sheets>
  <definedNames/>
  <calcPr/>
</workbook>
</file>

<file path=xl/sharedStrings.xml><?xml version="1.0" encoding="utf-8"?>
<sst xmlns="http://schemas.openxmlformats.org/spreadsheetml/2006/main" count="108" uniqueCount="57">
  <si>
    <t>Display Device</t>
  </si>
  <si>
    <t>System Parameters (defined by hardware)</t>
  </si>
  <si>
    <t>Profiles (usage of each component mode - defined by software and usage)</t>
  </si>
  <si>
    <t>form the datasheets</t>
  </si>
  <si>
    <t>Total power in profile (mw)</t>
  </si>
  <si>
    <t xml:space="preserve">Maximum Time </t>
  </si>
  <si>
    <t>"off"</t>
  </si>
  <si>
    <t>"sensing"</t>
  </si>
  <si>
    <t>"interactive"</t>
  </si>
  <si>
    <t>mW</t>
  </si>
  <si>
    <t>hours</t>
  </si>
  <si>
    <t>Processor(XIAO ESP32C3)</t>
  </si>
  <si>
    <t>Active</t>
  </si>
  <si>
    <t>Idle</t>
  </si>
  <si>
    <t>Sleep</t>
  </si>
  <si>
    <t>Effective Battery Capacity</t>
  </si>
  <si>
    <t>mW*h</t>
  </si>
  <si>
    <t>LED</t>
  </si>
  <si>
    <t>On</t>
  </si>
  <si>
    <t>Days of Use</t>
  </si>
  <si>
    <t>days</t>
  </si>
  <si>
    <t>Hours of Use</t>
  </si>
  <si>
    <t>Display(logic + indicator only)</t>
  </si>
  <si>
    <t>Off (leakage)</t>
  </si>
  <si>
    <t>Stepper Motor (X27 gauge motor)</t>
  </si>
  <si>
    <t>Standby</t>
  </si>
  <si>
    <t>hours/day typical usage</t>
  </si>
  <si>
    <t>Battery</t>
  </si>
  <si>
    <t>Capacity</t>
  </si>
  <si>
    <t>mAh</t>
  </si>
  <si>
    <t>Nominal Voltage</t>
  </si>
  <si>
    <t>V</t>
  </si>
  <si>
    <t>Regulator Efficiency</t>
  </si>
  <si>
    <t>Sensing Device</t>
  </si>
  <si>
    <t>Sensor（VL53L0X）</t>
  </si>
  <si>
    <t>Off</t>
  </si>
  <si>
    <t>Days of use</t>
  </si>
  <si>
    <t>Days of use are estimated using duty-cycle profiles (off / sensing / interactive) rather than exact clock-time usage.</t>
  </si>
  <si>
    <t>Battery size</t>
  </si>
  <si>
    <t>Two separate batteries are assumed: 500 mAh for the sensing device and 1000 mAh for the display device, based on their different power profiles.</t>
  </si>
  <si>
    <t>Tradeoffs</t>
  </si>
  <si>
    <t>Battery life can be improved by increasing sleep time and reducing stepper motor activity.</t>
  </si>
  <si>
    <t>Linked Data from First Page DO NOT EDIT</t>
  </si>
  <si>
    <t>% change</t>
  </si>
  <si>
    <t>Parameter Name</t>
  </si>
  <si>
    <t>ProcessorActive</t>
  </si>
  <si>
    <t>ProcessorIdle</t>
  </si>
  <si>
    <t>ProcessorOff</t>
  </si>
  <si>
    <t>LEDOn</t>
  </si>
  <si>
    <t>SensorOn</t>
  </si>
  <si>
    <t>SensorIdle</t>
  </si>
  <si>
    <t>SensorOff</t>
  </si>
  <si>
    <t>DisplayOn</t>
  </si>
  <si>
    <t>DisplayOff</t>
  </si>
  <si>
    <t>RadioStandby</t>
  </si>
  <si>
    <t>RadioTX</t>
  </si>
  <si>
    <t>RadioRX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</si>
</sst>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Arial"/>
    </font>
    <font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</fills>
  <borders count="10">
    <border/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0" fontId="2" numFmtId="0" xfId="0" applyBorder="1" applyFont="1"/>
    <xf borderId="2" fillId="0" fontId="2" numFmtId="0" xfId="0" applyBorder="1" applyFont="1"/>
    <xf borderId="3" fillId="0" fontId="3" numFmtId="0" xfId="0" applyBorder="1" applyFont="1"/>
    <xf borderId="0" fillId="0" fontId="3" numFmtId="0" xfId="0" applyFont="1"/>
    <xf borderId="4" fillId="0" fontId="2" numFmtId="0" xfId="0" applyBorder="1" applyFont="1"/>
    <xf borderId="5" fillId="0" fontId="2" numFmtId="0" xfId="0" applyBorder="1" applyFont="1"/>
    <xf borderId="3" fillId="0" fontId="2" numFmtId="0" xfId="0" applyBorder="1" applyFont="1"/>
    <xf borderId="0" fillId="0" fontId="4" numFmtId="0" xfId="0" applyFont="1"/>
    <xf borderId="6" fillId="3" fontId="2" numFmtId="0" xfId="0" applyBorder="1" applyFill="1" applyFont="1"/>
    <xf borderId="0" fillId="0" fontId="2" numFmtId="0" xfId="0" applyFont="1"/>
    <xf borderId="6" fillId="3" fontId="2" numFmtId="164" xfId="0" applyBorder="1" applyFont="1" applyNumberFormat="1"/>
    <xf borderId="6" fillId="4" fontId="4" numFmtId="1" xfId="0" applyBorder="1" applyFill="1" applyFont="1" applyNumberFormat="1"/>
    <xf borderId="6" fillId="4" fontId="2" numFmtId="9" xfId="0" applyBorder="1" applyFont="1" applyNumberFormat="1"/>
    <xf borderId="6" fillId="4" fontId="4" numFmtId="9" xfId="0" applyBorder="1" applyFont="1" applyNumberFormat="1"/>
    <xf borderId="6" fillId="4" fontId="2" numFmtId="1" xfId="0" applyBorder="1" applyFont="1" applyNumberFormat="1"/>
    <xf borderId="6" fillId="5" fontId="3" numFmtId="0" xfId="0" applyBorder="1" applyFill="1" applyFont="1"/>
    <xf borderId="6" fillId="5" fontId="3" numFmtId="2" xfId="0" applyBorder="1" applyFont="1" applyNumberFormat="1"/>
    <xf borderId="0" fillId="0" fontId="2" numFmtId="1" xfId="0" applyFont="1" applyNumberForma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0" fillId="0" fontId="1" numFmtId="0" xfId="0" applyFont="1"/>
    <xf borderId="0" fillId="0" fontId="5" numFmtId="0" xfId="0" applyFont="1"/>
    <xf borderId="6" fillId="4" fontId="2" numFmtId="0" xfId="0" applyBorder="1" applyFont="1"/>
    <xf borderId="0" fillId="0" fontId="2" numFmtId="9" xfId="0" applyFont="1" applyNumberFormat="1"/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'Sensitivity Analysis'!$D$99:$O$99</c:f>
            </c:strRef>
          </c:cat>
          <c:val>
            <c:numRef>
              <c:f>'Sensitivity Analysis'!$D$98:$O$98</c:f>
              <c:numCache/>
            </c:numRef>
          </c:val>
        </c:ser>
        <c:axId val="546550530"/>
        <c:axId val="177203497"/>
      </c:barChart>
      <c:catAx>
        <c:axId val="5465505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7203497"/>
      </c:catAx>
      <c:valAx>
        <c:axId val="17720349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54655053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11</xdr:row>
      <xdr:rowOff>0</xdr:rowOff>
    </xdr:from>
    <xdr:ext cx="4876800" cy="2438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38</xdr:row>
      <xdr:rowOff>0</xdr:rowOff>
    </xdr:from>
    <xdr:ext cx="4876800" cy="24384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2</xdr:row>
      <xdr:rowOff>171450</xdr:rowOff>
    </xdr:from>
    <xdr:ext cx="6743700" cy="4171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552450</xdr:colOff>
      <xdr:row>9</xdr:row>
      <xdr:rowOff>38100</xdr:rowOff>
    </xdr:from>
    <xdr:ext cx="3381375" cy="857250"/>
    <xdr:sp>
      <xdr:nvSpPr>
        <xdr:cNvPr id="3" name="Shape 3"/>
        <xdr:cNvSpPr txBox="1"/>
      </xdr:nvSpPr>
      <xdr:spPr>
        <a:xfrm>
          <a:off x="3660075" y="3356138"/>
          <a:ext cx="3371850" cy="847725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If component changes by 10%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… “hours” of use changes by x%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6" width="12.63"/>
  </cols>
  <sheetData>
    <row r="1" ht="15.75" customHeight="1"/>
    <row r="2" ht="15.75" customHeight="1">
      <c r="A2" s="1" t="s">
        <v>0</v>
      </c>
      <c r="B2" s="2"/>
      <c r="C2" s="2"/>
      <c r="D2" s="2"/>
      <c r="E2" s="2"/>
      <c r="F2" s="2"/>
      <c r="G2" s="2"/>
      <c r="H2" s="2"/>
      <c r="I2" s="3"/>
    </row>
    <row r="3" ht="15.75" customHeight="1">
      <c r="A3" s="4" t="s">
        <v>1</v>
      </c>
      <c r="E3" s="5" t="s">
        <v>2</v>
      </c>
      <c r="I3" s="6"/>
      <c r="K3" s="7"/>
      <c r="L3" s="2"/>
      <c r="M3" s="2"/>
      <c r="N3" s="2"/>
      <c r="O3" s="2"/>
      <c r="P3" s="2"/>
      <c r="Q3" s="3"/>
    </row>
    <row r="4" ht="15.75" customHeight="1">
      <c r="A4" s="8"/>
      <c r="B4" s="9" t="s">
        <v>3</v>
      </c>
      <c r="I4" s="6"/>
      <c r="K4" s="8"/>
      <c r="L4" s="10" t="s">
        <v>4</v>
      </c>
      <c r="M4" s="10"/>
      <c r="N4" s="10"/>
      <c r="O4" s="10" t="s">
        <v>5</v>
      </c>
      <c r="P4" s="10"/>
      <c r="Q4" s="6"/>
    </row>
    <row r="5" ht="15.75" customHeight="1">
      <c r="A5" s="8"/>
      <c r="E5" s="11" t="s">
        <v>6</v>
      </c>
      <c r="F5" s="11" t="s">
        <v>7</v>
      </c>
      <c r="G5" s="11" t="s">
        <v>8</v>
      </c>
      <c r="I5" s="6"/>
      <c r="K5" s="8"/>
      <c r="L5" s="10" t="str">
        <f>E5</f>
        <v>"off"</v>
      </c>
      <c r="M5" s="10">
        <f>SUMPRODUCT(B7:B21, E7:E21)</f>
        <v>87.8906</v>
      </c>
      <c r="N5" s="10" t="s">
        <v>9</v>
      </c>
      <c r="O5" s="12">
        <f t="shared" ref="O5:O7" si="1">$M$10/M5</f>
        <v>37.88801078</v>
      </c>
      <c r="P5" s="10" t="s">
        <v>10</v>
      </c>
      <c r="Q5" s="6"/>
    </row>
    <row r="6" ht="15.75" customHeight="1">
      <c r="A6" s="4" t="s">
        <v>11</v>
      </c>
      <c r="I6" s="6"/>
      <c r="K6" s="8"/>
      <c r="L6" s="10" t="str">
        <f>F5</f>
        <v>"sensing"</v>
      </c>
      <c r="M6" s="10">
        <f>SUMPRODUCT(B7:B21, F7:F21)</f>
        <v>126.53848</v>
      </c>
      <c r="N6" s="10" t="s">
        <v>9</v>
      </c>
      <c r="O6" s="12">
        <f t="shared" si="1"/>
        <v>26.31610558</v>
      </c>
      <c r="P6" s="10" t="s">
        <v>10</v>
      </c>
      <c r="Q6" s="6"/>
    </row>
    <row r="7" ht="15.75" customHeight="1">
      <c r="A7" s="8" t="s">
        <v>12</v>
      </c>
      <c r="B7" s="13">
        <v>154.25</v>
      </c>
      <c r="C7" s="11" t="s">
        <v>9</v>
      </c>
      <c r="E7" s="14">
        <v>0.0</v>
      </c>
      <c r="F7" s="15">
        <v>0.2</v>
      </c>
      <c r="G7" s="14">
        <v>0.4</v>
      </c>
      <c r="I7" s="6"/>
      <c r="K7" s="8"/>
      <c r="L7" s="10" t="str">
        <f>G5</f>
        <v>"interactive"</v>
      </c>
      <c r="M7" s="10">
        <f>SUMPRODUCT(B7:B21, G7:G21)</f>
        <v>190.93812</v>
      </c>
      <c r="N7" s="10" t="s">
        <v>9</v>
      </c>
      <c r="O7" s="12">
        <f t="shared" si="1"/>
        <v>17.44020524</v>
      </c>
      <c r="P7" s="10" t="s">
        <v>10</v>
      </c>
      <c r="Q7" s="6"/>
    </row>
    <row r="8" ht="15.75" customHeight="1">
      <c r="A8" s="8" t="s">
        <v>13</v>
      </c>
      <c r="B8" s="16">
        <v>2.5</v>
      </c>
      <c r="C8" s="11" t="s">
        <v>9</v>
      </c>
      <c r="E8" s="14">
        <v>0.0</v>
      </c>
      <c r="F8" s="15">
        <v>0.3</v>
      </c>
      <c r="G8" s="14">
        <v>0.4</v>
      </c>
      <c r="I8" s="6"/>
      <c r="K8" s="8"/>
      <c r="Q8" s="6"/>
    </row>
    <row r="9" ht="15.75" customHeight="1">
      <c r="A9" s="8" t="s">
        <v>14</v>
      </c>
      <c r="B9" s="16">
        <v>0.89</v>
      </c>
      <c r="C9" s="11" t="s">
        <v>9</v>
      </c>
      <c r="E9" s="14">
        <v>1.0</v>
      </c>
      <c r="F9" s="14">
        <v>0.5</v>
      </c>
      <c r="G9" s="14">
        <v>0.2</v>
      </c>
      <c r="I9" s="6"/>
      <c r="K9" s="8"/>
      <c r="L9" s="11" t="s">
        <v>15</v>
      </c>
      <c r="Q9" s="6"/>
    </row>
    <row r="10" ht="15.75" customHeight="1">
      <c r="I10" s="6"/>
      <c r="K10" s="8"/>
      <c r="M10" s="11">
        <f>B25*B26*B27</f>
        <v>3330</v>
      </c>
      <c r="N10" s="11" t="s">
        <v>16</v>
      </c>
      <c r="Q10" s="6"/>
    </row>
    <row r="11" ht="15.75" customHeight="1">
      <c r="A11" s="4" t="s">
        <v>17</v>
      </c>
      <c r="I11" s="6"/>
      <c r="K11" s="8"/>
      <c r="Q11" s="6"/>
    </row>
    <row r="12" ht="15.75" customHeight="1">
      <c r="A12" s="8" t="s">
        <v>18</v>
      </c>
      <c r="B12" s="16">
        <v>15.0</v>
      </c>
      <c r="C12" s="11" t="s">
        <v>9</v>
      </c>
      <c r="E12" s="14">
        <v>0.0</v>
      </c>
      <c r="F12" s="14">
        <v>0.2</v>
      </c>
      <c r="G12" s="14">
        <v>0.8</v>
      </c>
      <c r="I12" s="6"/>
      <c r="K12" s="8"/>
      <c r="L12" s="17" t="s">
        <v>19</v>
      </c>
      <c r="M12" s="18">
        <f>M10/(E23*M5+F23*M6+G23*M7)</f>
        <v>1.341142796</v>
      </c>
      <c r="N12" s="17" t="s">
        <v>20</v>
      </c>
      <c r="Q12" s="6"/>
    </row>
    <row r="13" ht="15.75" customHeight="1">
      <c r="A13" s="8"/>
      <c r="B13" s="19"/>
      <c r="I13" s="6"/>
      <c r="K13" s="8"/>
      <c r="L13" s="17" t="s">
        <v>21</v>
      </c>
      <c r="M13" s="18">
        <f>M12*24</f>
        <v>32.1874271</v>
      </c>
      <c r="N13" s="17" t="s">
        <v>10</v>
      </c>
      <c r="Q13" s="6"/>
    </row>
    <row r="14" ht="15.75" customHeight="1">
      <c r="A14" s="8"/>
      <c r="B14" s="19"/>
      <c r="I14" s="6"/>
      <c r="K14" s="8"/>
      <c r="Q14" s="6"/>
    </row>
    <row r="15" ht="15.75" customHeight="1">
      <c r="A15" s="4" t="s">
        <v>22</v>
      </c>
      <c r="B15" s="19"/>
      <c r="I15" s="6"/>
      <c r="K15" s="8"/>
      <c r="Q15" s="6"/>
    </row>
    <row r="16" ht="15.75" customHeight="1">
      <c r="A16" s="8" t="s">
        <v>18</v>
      </c>
      <c r="B16" s="16">
        <v>20.0</v>
      </c>
      <c r="C16" s="11" t="s">
        <v>9</v>
      </c>
      <c r="E16" s="14">
        <v>0.0</v>
      </c>
      <c r="F16" s="14">
        <v>0.2</v>
      </c>
      <c r="G16" s="14">
        <v>0.8</v>
      </c>
      <c r="I16" s="6"/>
      <c r="K16" s="8"/>
      <c r="Q16" s="6"/>
    </row>
    <row r="17" ht="15.75" customHeight="1">
      <c r="A17" s="8" t="s">
        <v>23</v>
      </c>
      <c r="B17" s="16">
        <v>1.0006</v>
      </c>
      <c r="C17" s="11" t="s">
        <v>9</v>
      </c>
      <c r="E17" s="14">
        <v>1.0</v>
      </c>
      <c r="F17" s="14">
        <v>0.8</v>
      </c>
      <c r="G17" s="14">
        <v>0.2</v>
      </c>
      <c r="I17" s="6"/>
      <c r="K17" s="8"/>
      <c r="Q17" s="6"/>
    </row>
    <row r="18" ht="15.75" customHeight="1">
      <c r="A18" s="8"/>
      <c r="I18" s="6"/>
      <c r="K18" s="20"/>
      <c r="L18" s="21"/>
      <c r="M18" s="21"/>
      <c r="N18" s="21"/>
      <c r="O18" s="21"/>
      <c r="P18" s="21"/>
      <c r="Q18" s="22"/>
    </row>
    <row r="19" ht="15.75" customHeight="1">
      <c r="A19" s="23" t="s">
        <v>24</v>
      </c>
      <c r="E19" s="23"/>
      <c r="F19" s="23"/>
      <c r="G19" s="23"/>
      <c r="I19" s="6"/>
    </row>
    <row r="20" ht="15.75" customHeight="1">
      <c r="A20" s="24" t="s">
        <v>18</v>
      </c>
      <c r="B20" s="16">
        <v>155.3</v>
      </c>
      <c r="C20" s="24" t="s">
        <v>9</v>
      </c>
      <c r="D20" s="24"/>
      <c r="E20" s="25">
        <v>0.0</v>
      </c>
      <c r="F20" s="14">
        <v>0.01</v>
      </c>
      <c r="G20" s="14">
        <v>0.2</v>
      </c>
      <c r="I20" s="6"/>
    </row>
    <row r="21" ht="15.75" customHeight="1">
      <c r="A21" s="8" t="s">
        <v>25</v>
      </c>
      <c r="B21" s="16">
        <v>86.0</v>
      </c>
      <c r="C21" s="24" t="s">
        <v>9</v>
      </c>
      <c r="D21" s="24"/>
      <c r="E21" s="14">
        <v>1.0</v>
      </c>
      <c r="F21" s="14">
        <v>0.99</v>
      </c>
      <c r="G21" s="14">
        <v>0.8</v>
      </c>
      <c r="I21" s="6"/>
    </row>
    <row r="22" ht="15.75" customHeight="1">
      <c r="I22" s="6"/>
    </row>
    <row r="23" ht="15.75" customHeight="1">
      <c r="A23" s="8"/>
      <c r="D23" s="24"/>
      <c r="E23" s="16">
        <v>16.0</v>
      </c>
      <c r="F23" s="16">
        <v>7.0</v>
      </c>
      <c r="G23" s="16">
        <v>1.0</v>
      </c>
      <c r="H23" s="24" t="s">
        <v>26</v>
      </c>
      <c r="I23" s="24"/>
    </row>
    <row r="24" ht="15.75" customHeight="1">
      <c r="A24" s="4" t="s">
        <v>27</v>
      </c>
      <c r="I24" s="6"/>
    </row>
    <row r="25" ht="15.75" customHeight="1">
      <c r="A25" s="8" t="s">
        <v>28</v>
      </c>
      <c r="B25" s="16">
        <v>1000.0</v>
      </c>
      <c r="C25" s="11" t="s">
        <v>29</v>
      </c>
      <c r="I25" s="6"/>
    </row>
    <row r="26" ht="15.75" customHeight="1">
      <c r="A26" s="8" t="s">
        <v>30</v>
      </c>
      <c r="B26" s="16">
        <v>3.7</v>
      </c>
      <c r="C26" s="11" t="s">
        <v>31</v>
      </c>
      <c r="I26" s="6"/>
    </row>
    <row r="27" ht="15.75" customHeight="1">
      <c r="A27" s="8" t="s">
        <v>32</v>
      </c>
      <c r="B27" s="14">
        <v>0.9</v>
      </c>
      <c r="D27" s="21"/>
      <c r="E27" s="21"/>
      <c r="F27" s="21"/>
      <c r="G27" s="21"/>
      <c r="H27" s="21"/>
      <c r="I27" s="22"/>
    </row>
    <row r="28" ht="15.75" customHeight="1"/>
    <row r="29" ht="15.75" customHeight="1">
      <c r="K29" s="7"/>
      <c r="L29" s="2"/>
      <c r="M29" s="2"/>
      <c r="N29" s="2"/>
      <c r="O29" s="2"/>
      <c r="P29" s="2"/>
      <c r="Q29" s="3"/>
    </row>
    <row r="30" ht="15.75" customHeight="1">
      <c r="A30" s="1" t="s">
        <v>33</v>
      </c>
      <c r="K30" s="8"/>
      <c r="L30" s="10" t="s">
        <v>4</v>
      </c>
      <c r="M30" s="10"/>
      <c r="N30" s="10"/>
      <c r="O30" s="10" t="s">
        <v>5</v>
      </c>
      <c r="P30" s="10"/>
      <c r="Q30" s="6"/>
    </row>
    <row r="31" ht="15.75" customHeight="1">
      <c r="A31" s="8"/>
      <c r="E31" s="11" t="s">
        <v>6</v>
      </c>
      <c r="F31" s="11" t="s">
        <v>7</v>
      </c>
      <c r="G31" s="11" t="s">
        <v>8</v>
      </c>
      <c r="K31" s="8"/>
      <c r="L31" s="10" t="str">
        <f>E31</f>
        <v>"off"</v>
      </c>
      <c r="M31" s="10">
        <f>SUMPRODUCT(B33:B41, E33:E41)</f>
        <v>1.89045</v>
      </c>
      <c r="N31" s="10" t="s">
        <v>9</v>
      </c>
      <c r="O31" s="12">
        <f t="shared" ref="O31:O33" si="2">$M$10/M31</f>
        <v>1761.485361</v>
      </c>
      <c r="P31" s="10" t="s">
        <v>10</v>
      </c>
      <c r="Q31" s="6"/>
    </row>
    <row r="32" ht="15.75" customHeight="1">
      <c r="A32" s="4" t="s">
        <v>11</v>
      </c>
      <c r="K32" s="8"/>
      <c r="L32" s="10" t="str">
        <f>F31</f>
        <v>"sensing"</v>
      </c>
      <c r="M32" s="10">
        <f>SUMPRODUCT(B33:B41, F33:F41)</f>
        <v>82.045</v>
      </c>
      <c r="N32" s="10" t="s">
        <v>9</v>
      </c>
      <c r="O32" s="12">
        <f t="shared" si="2"/>
        <v>40.58748248</v>
      </c>
      <c r="P32" s="10" t="s">
        <v>10</v>
      </c>
      <c r="Q32" s="6"/>
    </row>
    <row r="33" ht="15.75" customHeight="1">
      <c r="A33" s="8" t="s">
        <v>12</v>
      </c>
      <c r="B33" s="13">
        <v>154.25</v>
      </c>
      <c r="C33" s="11" t="s">
        <v>9</v>
      </c>
      <c r="E33" s="14">
        <v>0.0</v>
      </c>
      <c r="F33" s="15">
        <v>0.2</v>
      </c>
      <c r="G33" s="14">
        <v>0.4</v>
      </c>
      <c r="K33" s="8"/>
      <c r="L33" s="10" t="str">
        <f>G31</f>
        <v>"interactive"</v>
      </c>
      <c r="M33" s="10">
        <f>SUMPRODUCT(B33:B41, G33:G41)</f>
        <v>112.878</v>
      </c>
      <c r="N33" s="10" t="s">
        <v>9</v>
      </c>
      <c r="O33" s="12">
        <f t="shared" si="2"/>
        <v>29.50087705</v>
      </c>
      <c r="P33" s="10" t="s">
        <v>10</v>
      </c>
      <c r="Q33" s="6"/>
    </row>
    <row r="34" ht="15.75" customHeight="1">
      <c r="A34" s="8" t="s">
        <v>13</v>
      </c>
      <c r="B34" s="16">
        <v>2.5</v>
      </c>
      <c r="C34" s="11" t="s">
        <v>9</v>
      </c>
      <c r="E34" s="14">
        <v>0.0</v>
      </c>
      <c r="F34" s="15">
        <v>0.3</v>
      </c>
      <c r="G34" s="14">
        <v>0.4</v>
      </c>
      <c r="K34" s="8"/>
      <c r="Q34" s="6"/>
    </row>
    <row r="35" ht="15.75" customHeight="1">
      <c r="A35" s="8" t="s">
        <v>14</v>
      </c>
      <c r="B35" s="16">
        <v>0.89</v>
      </c>
      <c r="C35" s="11" t="s">
        <v>9</v>
      </c>
      <c r="E35" s="14">
        <v>1.0</v>
      </c>
      <c r="F35" s="14">
        <v>0.5</v>
      </c>
      <c r="G35" s="14">
        <v>0.2</v>
      </c>
      <c r="K35" s="8"/>
      <c r="L35" s="11" t="s">
        <v>15</v>
      </c>
      <c r="Q35" s="6"/>
    </row>
    <row r="36" ht="15.75" customHeight="1">
      <c r="K36" s="8"/>
      <c r="M36" s="11">
        <v>3330.0</v>
      </c>
      <c r="N36" s="11" t="s">
        <v>16</v>
      </c>
      <c r="Q36" s="6"/>
    </row>
    <row r="37" ht="15.75" customHeight="1">
      <c r="K37" s="8"/>
      <c r="Q37" s="6"/>
    </row>
    <row r="38" ht="15.75" customHeight="1">
      <c r="A38" s="4" t="s">
        <v>34</v>
      </c>
      <c r="B38" s="19"/>
      <c r="K38" s="8"/>
      <c r="L38" s="17" t="s">
        <v>19</v>
      </c>
      <c r="M38" s="18">
        <f>M36/(E47*M31+F47*M32+G47*M33)</f>
        <v>4.641501828</v>
      </c>
      <c r="N38" s="17" t="s">
        <v>20</v>
      </c>
      <c r="Q38" s="6"/>
    </row>
    <row r="39" ht="15.75" customHeight="1">
      <c r="A39" s="8" t="s">
        <v>18</v>
      </c>
      <c r="B39" s="16">
        <v>60.0</v>
      </c>
      <c r="C39" s="11" t="s">
        <v>9</v>
      </c>
      <c r="E39" s="14">
        <v>0.0</v>
      </c>
      <c r="F39" s="14">
        <v>0.8</v>
      </c>
      <c r="G39" s="14">
        <v>0.8</v>
      </c>
      <c r="K39" s="8"/>
      <c r="L39" s="17" t="s">
        <v>21</v>
      </c>
      <c r="M39" s="18">
        <f>M38*24</f>
        <v>111.3960439</v>
      </c>
      <c r="N39" s="17" t="s">
        <v>10</v>
      </c>
      <c r="Q39" s="6"/>
    </row>
    <row r="40" ht="15.75" customHeight="1">
      <c r="A40" s="8" t="s">
        <v>13</v>
      </c>
      <c r="B40" s="16">
        <v>10.0</v>
      </c>
      <c r="C40" s="11" t="s">
        <v>9</v>
      </c>
      <c r="E40" s="14">
        <v>0.0</v>
      </c>
      <c r="F40" s="14">
        <v>0.2</v>
      </c>
      <c r="G40" s="14">
        <v>0.2</v>
      </c>
      <c r="K40" s="8"/>
      <c r="Q40" s="6"/>
    </row>
    <row r="41" ht="15.75" customHeight="1">
      <c r="A41" s="8" t="s">
        <v>35</v>
      </c>
      <c r="B41" s="16">
        <v>1.00045</v>
      </c>
      <c r="C41" s="11" t="s">
        <v>9</v>
      </c>
      <c r="E41" s="14">
        <v>1.0</v>
      </c>
      <c r="F41" s="14">
        <v>0.0</v>
      </c>
      <c r="G41" s="14">
        <v>0.0</v>
      </c>
      <c r="K41" s="8"/>
      <c r="Q41" s="6"/>
    </row>
    <row r="42" ht="15.75" customHeight="1">
      <c r="K42" s="8"/>
      <c r="Q42" s="6"/>
    </row>
    <row r="43" ht="15.75" customHeight="1">
      <c r="A43" s="4" t="s">
        <v>27</v>
      </c>
      <c r="K43" s="8"/>
      <c r="Q43" s="6"/>
    </row>
    <row r="44" ht="15.75" customHeight="1">
      <c r="A44" s="8" t="s">
        <v>28</v>
      </c>
      <c r="B44" s="16">
        <v>1000.0</v>
      </c>
      <c r="C44" s="11" t="s">
        <v>29</v>
      </c>
      <c r="K44" s="20"/>
      <c r="L44" s="21"/>
      <c r="M44" s="21"/>
      <c r="N44" s="21"/>
      <c r="O44" s="21"/>
      <c r="P44" s="21"/>
      <c r="Q44" s="22"/>
    </row>
    <row r="45" ht="15.75" customHeight="1">
      <c r="A45" s="8" t="s">
        <v>30</v>
      </c>
      <c r="B45" s="16">
        <v>3.7</v>
      </c>
      <c r="C45" s="11" t="s">
        <v>31</v>
      </c>
    </row>
    <row r="46" ht="15.75" customHeight="1">
      <c r="A46" s="8" t="s">
        <v>32</v>
      </c>
      <c r="B46" s="14">
        <v>0.9</v>
      </c>
    </row>
    <row r="47" ht="15.75" customHeight="1">
      <c r="E47" s="16">
        <v>16.0</v>
      </c>
      <c r="F47" s="16">
        <v>7.0</v>
      </c>
      <c r="G47" s="16">
        <v>1.0</v>
      </c>
      <c r="H47" s="24" t="s">
        <v>26</v>
      </c>
      <c r="I47" s="24"/>
    </row>
    <row r="48" ht="15.75" customHeight="1"/>
    <row r="49" ht="15.75" customHeight="1"/>
    <row r="50" ht="15.75" customHeight="1">
      <c r="A50" s="23" t="s">
        <v>36</v>
      </c>
    </row>
    <row r="51" ht="15.75" customHeight="1">
      <c r="A51" s="24" t="s">
        <v>37</v>
      </c>
    </row>
    <row r="52" ht="15.75" customHeight="1"/>
    <row r="53" ht="15.75" customHeight="1">
      <c r="A53" s="23" t="s">
        <v>38</v>
      </c>
    </row>
    <row r="54" ht="15.75" customHeight="1">
      <c r="A54" s="24" t="s">
        <v>39</v>
      </c>
    </row>
    <row r="55" ht="15.75" customHeight="1"/>
    <row r="56" ht="15.75" customHeight="1">
      <c r="A56" s="23" t="s">
        <v>40</v>
      </c>
    </row>
    <row r="57" ht="15.75" customHeight="1">
      <c r="A57" s="24" t="s">
        <v>41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>
      <c r="A50" s="11" t="s">
        <v>42</v>
      </c>
    </row>
    <row r="51" ht="15.75" customHeight="1"/>
    <row r="52" ht="15.75" customHeight="1">
      <c r="A52" s="11" t="str">
        <f>'System Parameters'!A3</f>
        <v>System Parameters (defined by hardware)</v>
      </c>
      <c r="B52" s="11" t="str">
        <f>'System Parameters'!B3</f>
        <v/>
      </c>
      <c r="C52" s="11" t="str">
        <f>'System Parameters'!C3</f>
        <v/>
      </c>
      <c r="D52" s="11" t="str">
        <f>'System Parameters'!D3</f>
        <v/>
      </c>
      <c r="T52" s="11" t="str">
        <f>'System Parameters'!E3</f>
        <v>Profiles (usage of each component mode - defined by software and usage)</v>
      </c>
      <c r="U52" s="11" t="str">
        <f>'System Parameters'!F3</f>
        <v/>
      </c>
      <c r="V52" s="11" t="str">
        <f>'System Parameters'!G3</f>
        <v/>
      </c>
      <c r="W52" s="11" t="str">
        <f>'System Parameters'!H3</f>
        <v/>
      </c>
    </row>
    <row r="53" ht="15.75" customHeight="1">
      <c r="A53" s="11" t="str">
        <f>'System Parameters'!A4</f>
        <v/>
      </c>
      <c r="B53" s="11" t="str">
        <f>'System Parameters'!B4</f>
        <v>form the datasheets</v>
      </c>
      <c r="C53" s="11" t="str">
        <f>'System Parameters'!C4</f>
        <v/>
      </c>
      <c r="D53" s="11" t="str">
        <f>'System Parameters'!D4</f>
        <v/>
      </c>
      <c r="T53" s="11" t="str">
        <f>'System Parameters'!E4</f>
        <v/>
      </c>
      <c r="U53" s="11" t="str">
        <f>'System Parameters'!F4</f>
        <v/>
      </c>
      <c r="V53" s="11" t="str">
        <f>'System Parameters'!G4</f>
        <v/>
      </c>
      <c r="W53" s="11" t="str">
        <f>'System Parameters'!H4</f>
        <v/>
      </c>
    </row>
    <row r="54" ht="15.75" customHeight="1">
      <c r="A54" s="11" t="str">
        <f>'System Parameters'!A5</f>
        <v/>
      </c>
      <c r="B54" s="11" t="str">
        <f>'System Parameters'!B5</f>
        <v/>
      </c>
      <c r="C54" s="11" t="str">
        <f>'System Parameters'!C5</f>
        <v/>
      </c>
      <c r="D54" s="11" t="str">
        <f>'System Parameters'!D5</f>
        <v/>
      </c>
      <c r="T54" s="11" t="str">
        <f>'System Parameters'!E5</f>
        <v>"off"</v>
      </c>
      <c r="U54" s="11" t="str">
        <f>'System Parameters'!F5</f>
        <v>"sensing"</v>
      </c>
      <c r="V54" s="11" t="str">
        <f>'System Parameters'!G5</f>
        <v>"interactive"</v>
      </c>
      <c r="W54" s="11" t="str">
        <f>'System Parameters'!H5</f>
        <v/>
      </c>
    </row>
    <row r="55" ht="15.75" customHeight="1">
      <c r="A55" s="11" t="str">
        <f>'System Parameters'!A6</f>
        <v>Processor(XIAO ESP32C3)</v>
      </c>
      <c r="B55" s="11" t="str">
        <f>'System Parameters'!B6</f>
        <v/>
      </c>
      <c r="C55" s="11" t="str">
        <f>'System Parameters'!C6</f>
        <v/>
      </c>
      <c r="D55" s="11" t="str">
        <f>'System Parameters'!D6</f>
        <v/>
      </c>
      <c r="T55" s="11" t="str">
        <f>'System Parameters'!E6</f>
        <v/>
      </c>
      <c r="U55" s="11" t="str">
        <f>'System Parameters'!F6</f>
        <v/>
      </c>
      <c r="V55" s="11" t="str">
        <f>'System Parameters'!G6</f>
        <v/>
      </c>
      <c r="W55" s="11" t="str">
        <f>'System Parameters'!H6</f>
        <v/>
      </c>
    </row>
    <row r="56" ht="15.75" customHeight="1">
      <c r="A56" s="11" t="str">
        <f>'System Parameters'!A7</f>
        <v>Active</v>
      </c>
      <c r="B56" s="19">
        <f>'System Parameters'!B7</f>
        <v>154.25</v>
      </c>
      <c r="C56" s="11" t="str">
        <f>'System Parameters'!C7</f>
        <v>mW</v>
      </c>
      <c r="D56" s="11">
        <f>$B56*0.9</f>
        <v>138.825</v>
      </c>
      <c r="E56" s="19">
        <f t="shared" ref="E56:O56" si="1">$B56</f>
        <v>154.25</v>
      </c>
      <c r="F56" s="19">
        <f t="shared" si="1"/>
        <v>154.25</v>
      </c>
      <c r="G56" s="19">
        <f t="shared" si="1"/>
        <v>154.25</v>
      </c>
      <c r="H56" s="19">
        <f t="shared" si="1"/>
        <v>154.25</v>
      </c>
      <c r="I56" s="19">
        <f t="shared" si="1"/>
        <v>154.25</v>
      </c>
      <c r="J56" s="19">
        <f t="shared" si="1"/>
        <v>154.25</v>
      </c>
      <c r="K56" s="19">
        <f t="shared" si="1"/>
        <v>154.25</v>
      </c>
      <c r="L56" s="19">
        <f t="shared" si="1"/>
        <v>154.25</v>
      </c>
      <c r="M56" s="19">
        <f t="shared" si="1"/>
        <v>154.25</v>
      </c>
      <c r="N56" s="19">
        <f t="shared" si="1"/>
        <v>154.25</v>
      </c>
      <c r="O56" s="19">
        <f t="shared" si="1"/>
        <v>154.25</v>
      </c>
      <c r="T56" s="26">
        <f>'System Parameters'!E7</f>
        <v>0</v>
      </c>
      <c r="U56" s="26">
        <f>'System Parameters'!F7</f>
        <v>0.2</v>
      </c>
      <c r="V56" s="26">
        <f>'System Parameters'!G7</f>
        <v>0.4</v>
      </c>
      <c r="W56" s="11" t="str">
        <f>'System Parameters'!H7</f>
        <v/>
      </c>
    </row>
    <row r="57" ht="15.75" customHeight="1">
      <c r="A57" s="11" t="str">
        <f>'System Parameters'!#REF!</f>
        <v>#ERROR!</v>
      </c>
      <c r="B57" s="19" t="str">
        <f>'System Parameters'!#REF!</f>
        <v>#ERROR!</v>
      </c>
      <c r="C57" s="11" t="str">
        <f>'System Parameters'!#REF!</f>
        <v>#ERROR!</v>
      </c>
      <c r="D57" s="19" t="str">
        <f t="shared" ref="D57:D76" si="3">$B57</f>
        <v>#ERROR!</v>
      </c>
      <c r="E57" s="11" t="str">
        <f>$B57*0.9</f>
        <v>#ERROR!</v>
      </c>
      <c r="F57" s="19" t="str">
        <f t="shared" ref="F57:O57" si="2">$B57</f>
        <v>#ERROR!</v>
      </c>
      <c r="G57" s="19" t="str">
        <f t="shared" si="2"/>
        <v>#ERROR!</v>
      </c>
      <c r="H57" s="19" t="str">
        <f t="shared" si="2"/>
        <v>#ERROR!</v>
      </c>
      <c r="I57" s="19" t="str">
        <f t="shared" si="2"/>
        <v>#ERROR!</v>
      </c>
      <c r="J57" s="19" t="str">
        <f t="shared" si="2"/>
        <v>#ERROR!</v>
      </c>
      <c r="K57" s="19" t="str">
        <f t="shared" si="2"/>
        <v>#ERROR!</v>
      </c>
      <c r="L57" s="19" t="str">
        <f t="shared" si="2"/>
        <v>#ERROR!</v>
      </c>
      <c r="M57" s="19" t="str">
        <f t="shared" si="2"/>
        <v>#ERROR!</v>
      </c>
      <c r="N57" s="19" t="str">
        <f t="shared" si="2"/>
        <v>#ERROR!</v>
      </c>
      <c r="O57" s="19" t="str">
        <f t="shared" si="2"/>
        <v>#ERROR!</v>
      </c>
      <c r="T57" s="26" t="str">
        <f>'System Parameters'!#REF!</f>
        <v>#ERROR!</v>
      </c>
      <c r="U57" s="26" t="str">
        <f>'System Parameters'!#REF!</f>
        <v>#ERROR!</v>
      </c>
      <c r="V57" s="26" t="str">
        <f>'System Parameters'!#REF!</f>
        <v>#ERROR!</v>
      </c>
      <c r="W57" s="11" t="str">
        <f>'System Parameters'!#REF!</f>
        <v>#ERROR!</v>
      </c>
    </row>
    <row r="58" ht="15.75" customHeight="1">
      <c r="A58" s="11" t="str">
        <f>'System Parameters'!A8</f>
        <v>Idle</v>
      </c>
      <c r="B58" s="19">
        <f>'System Parameters'!B8</f>
        <v>2.5</v>
      </c>
      <c r="C58" s="11" t="str">
        <f>'System Parameters'!C8</f>
        <v>mW</v>
      </c>
      <c r="D58" s="19">
        <f t="shared" si="3"/>
        <v>2.5</v>
      </c>
      <c r="E58" s="19">
        <f t="shared" ref="E58:E76" si="5">$B58</f>
        <v>2.5</v>
      </c>
      <c r="F58" s="11">
        <f>$B58*0.9</f>
        <v>2.25</v>
      </c>
      <c r="G58" s="19">
        <f t="shared" ref="G58:O58" si="4">$B58</f>
        <v>2.5</v>
      </c>
      <c r="H58" s="19">
        <f t="shared" si="4"/>
        <v>2.5</v>
      </c>
      <c r="I58" s="19">
        <f t="shared" si="4"/>
        <v>2.5</v>
      </c>
      <c r="J58" s="19">
        <f t="shared" si="4"/>
        <v>2.5</v>
      </c>
      <c r="K58" s="19">
        <f t="shared" si="4"/>
        <v>2.5</v>
      </c>
      <c r="L58" s="19">
        <f t="shared" si="4"/>
        <v>2.5</v>
      </c>
      <c r="M58" s="19">
        <f t="shared" si="4"/>
        <v>2.5</v>
      </c>
      <c r="N58" s="19">
        <f t="shared" si="4"/>
        <v>2.5</v>
      </c>
      <c r="O58" s="19">
        <f t="shared" si="4"/>
        <v>2.5</v>
      </c>
      <c r="T58" s="26">
        <f>'System Parameters'!E8</f>
        <v>0</v>
      </c>
      <c r="U58" s="26">
        <f>'System Parameters'!F8</f>
        <v>0.3</v>
      </c>
      <c r="V58" s="26">
        <f>'System Parameters'!G8</f>
        <v>0.4</v>
      </c>
      <c r="W58" s="11" t="str">
        <f>'System Parameters'!H8</f>
        <v/>
      </c>
    </row>
    <row r="59" ht="15.75" customHeight="1">
      <c r="A59" s="11" t="str">
        <f>'System Parameters'!A9</f>
        <v>Sleep</v>
      </c>
      <c r="B59" s="19">
        <f>'System Parameters'!B9</f>
        <v>0.89</v>
      </c>
      <c r="C59" s="11" t="str">
        <f>'System Parameters'!C9</f>
        <v>mW</v>
      </c>
      <c r="D59" s="19">
        <f t="shared" si="3"/>
        <v>0.89</v>
      </c>
      <c r="E59" s="19">
        <f t="shared" si="5"/>
        <v>0.89</v>
      </c>
      <c r="F59" s="19">
        <f t="shared" ref="F59:O59" si="6">$B59</f>
        <v>0.89</v>
      </c>
      <c r="G59" s="19">
        <f t="shared" si="6"/>
        <v>0.89</v>
      </c>
      <c r="H59" s="19">
        <f t="shared" si="6"/>
        <v>0.89</v>
      </c>
      <c r="I59" s="19">
        <f t="shared" si="6"/>
        <v>0.89</v>
      </c>
      <c r="J59" s="19">
        <f t="shared" si="6"/>
        <v>0.89</v>
      </c>
      <c r="K59" s="19">
        <f t="shared" si="6"/>
        <v>0.89</v>
      </c>
      <c r="L59" s="19">
        <f t="shared" si="6"/>
        <v>0.89</v>
      </c>
      <c r="M59" s="19">
        <f t="shared" si="6"/>
        <v>0.89</v>
      </c>
      <c r="N59" s="19">
        <f t="shared" si="6"/>
        <v>0.89</v>
      </c>
      <c r="O59" s="19">
        <f t="shared" si="6"/>
        <v>0.89</v>
      </c>
      <c r="T59" s="26">
        <f>'System Parameters'!E9</f>
        <v>1</v>
      </c>
      <c r="U59" s="26">
        <f>'System Parameters'!F9</f>
        <v>0.5</v>
      </c>
      <c r="V59" s="26">
        <f>'System Parameters'!G9</f>
        <v>0.2</v>
      </c>
      <c r="W59" s="11" t="str">
        <f>'System Parameters'!H9</f>
        <v/>
      </c>
    </row>
    <row r="60" ht="15.75" customHeight="1">
      <c r="A60" s="11" t="str">
        <f>'System Parameters'!A11</f>
        <v>LED</v>
      </c>
      <c r="B60" s="11" t="str">
        <f>'System Parameters'!B11</f>
        <v/>
      </c>
      <c r="C60" s="11" t="str">
        <f>'System Parameters'!C11</f>
        <v/>
      </c>
      <c r="D60" s="11" t="str">
        <f t="shared" si="3"/>
        <v/>
      </c>
      <c r="E60" s="11" t="str">
        <f t="shared" si="5"/>
        <v/>
      </c>
      <c r="F60" s="11" t="str">
        <f t="shared" ref="F60:O60" si="7">$B60</f>
        <v/>
      </c>
      <c r="G60" s="11" t="str">
        <f t="shared" si="7"/>
        <v/>
      </c>
      <c r="H60" s="11" t="str">
        <f t="shared" si="7"/>
        <v/>
      </c>
      <c r="I60" s="11" t="str">
        <f t="shared" si="7"/>
        <v/>
      </c>
      <c r="J60" s="11" t="str">
        <f t="shared" si="7"/>
        <v/>
      </c>
      <c r="K60" s="11" t="str">
        <f t="shared" si="7"/>
        <v/>
      </c>
      <c r="L60" s="11" t="str">
        <f t="shared" si="7"/>
        <v/>
      </c>
      <c r="M60" s="11" t="str">
        <f t="shared" si="7"/>
        <v/>
      </c>
      <c r="N60" s="11" t="str">
        <f t="shared" si="7"/>
        <v/>
      </c>
      <c r="O60" s="11" t="str">
        <f t="shared" si="7"/>
        <v/>
      </c>
      <c r="T60" s="11" t="str">
        <f>'System Parameters'!E11</f>
        <v/>
      </c>
      <c r="U60" s="11" t="str">
        <f>'System Parameters'!F11</f>
        <v/>
      </c>
      <c r="V60" s="11" t="str">
        <f>'System Parameters'!G11</f>
        <v/>
      </c>
      <c r="W60" s="11" t="str">
        <f>'System Parameters'!H10</f>
        <v/>
      </c>
    </row>
    <row r="61" ht="15.75" customHeight="1">
      <c r="A61" s="11" t="str">
        <f>'System Parameters'!A12</f>
        <v>On</v>
      </c>
      <c r="B61" s="19">
        <f>'System Parameters'!B12</f>
        <v>15</v>
      </c>
      <c r="C61" s="11" t="str">
        <f>'System Parameters'!C12</f>
        <v>mW</v>
      </c>
      <c r="D61" s="19">
        <f t="shared" si="3"/>
        <v>15</v>
      </c>
      <c r="E61" s="19">
        <f t="shared" si="5"/>
        <v>15</v>
      </c>
      <c r="F61" s="19">
        <f t="shared" ref="F61:F76" si="9">$B61</f>
        <v>15</v>
      </c>
      <c r="G61" s="11">
        <f>$B61*0.9</f>
        <v>13.5</v>
      </c>
      <c r="H61" s="19">
        <f t="shared" ref="H61:O61" si="8">$B61</f>
        <v>15</v>
      </c>
      <c r="I61" s="19">
        <f t="shared" si="8"/>
        <v>15</v>
      </c>
      <c r="J61" s="19">
        <f t="shared" si="8"/>
        <v>15</v>
      </c>
      <c r="K61" s="19">
        <f t="shared" si="8"/>
        <v>15</v>
      </c>
      <c r="L61" s="19">
        <f t="shared" si="8"/>
        <v>15</v>
      </c>
      <c r="M61" s="19">
        <f t="shared" si="8"/>
        <v>15</v>
      </c>
      <c r="N61" s="19">
        <f t="shared" si="8"/>
        <v>15</v>
      </c>
      <c r="O61" s="19">
        <f t="shared" si="8"/>
        <v>15</v>
      </c>
      <c r="T61" s="26">
        <f>'System Parameters'!E12</f>
        <v>0</v>
      </c>
      <c r="U61" s="26">
        <f>'System Parameters'!F12</f>
        <v>0.2</v>
      </c>
      <c r="V61" s="26">
        <f>'System Parameters'!G12</f>
        <v>0.8</v>
      </c>
      <c r="W61" s="11" t="str">
        <f>'System Parameters'!H11</f>
        <v/>
      </c>
    </row>
    <row r="62" ht="15.75" customHeight="1">
      <c r="A62" s="11" t="str">
        <f>'System Parameters'!#REF!</f>
        <v>#ERROR!</v>
      </c>
      <c r="B62" s="19" t="str">
        <f>'System Parameters'!#REF!</f>
        <v>#ERROR!</v>
      </c>
      <c r="C62" s="11" t="str">
        <f>'System Parameters'!#REF!</f>
        <v>#ERROR!</v>
      </c>
      <c r="D62" s="19" t="str">
        <f t="shared" si="3"/>
        <v>#ERROR!</v>
      </c>
      <c r="E62" s="19" t="str">
        <f t="shared" si="5"/>
        <v>#ERROR!</v>
      </c>
      <c r="F62" s="19" t="str">
        <f t="shared" si="9"/>
        <v>#ERROR!</v>
      </c>
      <c r="G62" s="19" t="str">
        <f t="shared" ref="G62:O62" si="10">$B62</f>
        <v>#ERROR!</v>
      </c>
      <c r="H62" s="19" t="str">
        <f t="shared" si="10"/>
        <v>#ERROR!</v>
      </c>
      <c r="I62" s="19" t="str">
        <f t="shared" si="10"/>
        <v>#ERROR!</v>
      </c>
      <c r="J62" s="19" t="str">
        <f t="shared" si="10"/>
        <v>#ERROR!</v>
      </c>
      <c r="K62" s="19" t="str">
        <f t="shared" si="10"/>
        <v>#ERROR!</v>
      </c>
      <c r="L62" s="19" t="str">
        <f t="shared" si="10"/>
        <v>#ERROR!</v>
      </c>
      <c r="M62" s="19" t="str">
        <f t="shared" si="10"/>
        <v>#ERROR!</v>
      </c>
      <c r="N62" s="19" t="str">
        <f t="shared" si="10"/>
        <v>#ERROR!</v>
      </c>
      <c r="O62" s="19" t="str">
        <f t="shared" si="10"/>
        <v>#ERROR!</v>
      </c>
      <c r="T62" s="11" t="str">
        <f>'System Parameters'!#REF!</f>
        <v>#ERROR!</v>
      </c>
      <c r="U62" s="11" t="str">
        <f>'System Parameters'!#REF!</f>
        <v>#ERROR!</v>
      </c>
      <c r="V62" s="11" t="str">
        <f>'System Parameters'!#REF!</f>
        <v>#ERROR!</v>
      </c>
      <c r="W62" s="11" t="str">
        <f>'System Parameters'!H12</f>
        <v/>
      </c>
    </row>
    <row r="63" ht="15.75" customHeight="1">
      <c r="A63" s="11" t="str">
        <f>'System Parameters'!A13</f>
        <v/>
      </c>
      <c r="B63" s="19" t="str">
        <f>'System Parameters'!B13</f>
        <v/>
      </c>
      <c r="C63" s="11" t="str">
        <f>'System Parameters'!C13</f>
        <v/>
      </c>
      <c r="D63" s="19" t="str">
        <f t="shared" si="3"/>
        <v/>
      </c>
      <c r="E63" s="19" t="str">
        <f t="shared" si="5"/>
        <v/>
      </c>
      <c r="F63" s="19" t="str">
        <f t="shared" si="9"/>
        <v/>
      </c>
      <c r="G63" s="19" t="str">
        <f t="shared" ref="G63:O63" si="11">$B63</f>
        <v/>
      </c>
      <c r="H63" s="19" t="str">
        <f t="shared" si="11"/>
        <v/>
      </c>
      <c r="I63" s="19" t="str">
        <f t="shared" si="11"/>
        <v/>
      </c>
      <c r="J63" s="19" t="str">
        <f t="shared" si="11"/>
        <v/>
      </c>
      <c r="K63" s="19" t="str">
        <f t="shared" si="11"/>
        <v/>
      </c>
      <c r="L63" s="19" t="str">
        <f t="shared" si="11"/>
        <v/>
      </c>
      <c r="M63" s="19" t="str">
        <f t="shared" si="11"/>
        <v/>
      </c>
      <c r="N63" s="19" t="str">
        <f t="shared" si="11"/>
        <v/>
      </c>
      <c r="O63" s="19" t="str">
        <f t="shared" si="11"/>
        <v/>
      </c>
      <c r="T63" s="11" t="str">
        <f>'System Parameters'!E13</f>
        <v/>
      </c>
      <c r="U63" s="11" t="str">
        <f>'System Parameters'!F13</f>
        <v/>
      </c>
      <c r="V63" s="11" t="str">
        <f>'System Parameters'!G13</f>
        <v/>
      </c>
      <c r="W63" s="11" t="str">
        <f>'System Parameters'!H13</f>
        <v/>
      </c>
    </row>
    <row r="64" ht="15.75" customHeight="1">
      <c r="A64" s="11" t="str">
        <f>'System Parameters'!#REF!</f>
        <v>#ERROR!</v>
      </c>
      <c r="B64" s="19" t="str">
        <f>'System Parameters'!#REF!</f>
        <v>#ERROR!</v>
      </c>
      <c r="C64" s="11" t="str">
        <f>'System Parameters'!#REF!</f>
        <v>#ERROR!</v>
      </c>
      <c r="D64" s="19" t="str">
        <f t="shared" si="3"/>
        <v>#ERROR!</v>
      </c>
      <c r="E64" s="19" t="str">
        <f t="shared" si="5"/>
        <v>#ERROR!</v>
      </c>
      <c r="F64" s="19" t="str">
        <f t="shared" si="9"/>
        <v>#ERROR!</v>
      </c>
      <c r="G64" s="19" t="str">
        <f t="shared" ref="G64:O64" si="12">$B64</f>
        <v>#ERROR!</v>
      </c>
      <c r="H64" s="19" t="str">
        <f t="shared" si="12"/>
        <v>#ERROR!</v>
      </c>
      <c r="I64" s="19" t="str">
        <f t="shared" si="12"/>
        <v>#ERROR!</v>
      </c>
      <c r="J64" s="19" t="str">
        <f t="shared" si="12"/>
        <v>#ERROR!</v>
      </c>
      <c r="K64" s="19" t="str">
        <f t="shared" si="12"/>
        <v>#ERROR!</v>
      </c>
      <c r="L64" s="19" t="str">
        <f t="shared" si="12"/>
        <v>#ERROR!</v>
      </c>
      <c r="M64" s="19" t="str">
        <f t="shared" si="12"/>
        <v>#ERROR!</v>
      </c>
      <c r="N64" s="19" t="str">
        <f t="shared" si="12"/>
        <v>#ERROR!</v>
      </c>
      <c r="O64" s="19" t="str">
        <f t="shared" si="12"/>
        <v>#ERROR!</v>
      </c>
      <c r="T64" s="11" t="str">
        <f>'System Parameters'!#REF!</f>
        <v>#ERROR!</v>
      </c>
      <c r="U64" s="11" t="str">
        <f>'System Parameters'!#REF!</f>
        <v>#ERROR!</v>
      </c>
      <c r="V64" s="11" t="str">
        <f>'System Parameters'!#REF!</f>
        <v>#ERROR!</v>
      </c>
      <c r="W64" s="11" t="str">
        <f>'System Parameters'!#REF!</f>
        <v>#ERROR!</v>
      </c>
    </row>
    <row r="65" ht="15.75" customHeight="1">
      <c r="A65" s="11" t="str">
        <f>'System Parameters'!#REF!</f>
        <v>#ERROR!</v>
      </c>
      <c r="B65" s="19" t="str">
        <f>'System Parameters'!#REF!</f>
        <v>#ERROR!</v>
      </c>
      <c r="C65" s="11" t="str">
        <f>'System Parameters'!#REF!</f>
        <v>#ERROR!</v>
      </c>
      <c r="D65" s="19" t="str">
        <f t="shared" si="3"/>
        <v>#ERROR!</v>
      </c>
      <c r="E65" s="19" t="str">
        <f t="shared" si="5"/>
        <v>#ERROR!</v>
      </c>
      <c r="F65" s="19" t="str">
        <f t="shared" si="9"/>
        <v>#ERROR!</v>
      </c>
      <c r="G65" s="19" t="str">
        <f t="shared" ref="G65:G76" si="14">$B65</f>
        <v>#ERROR!</v>
      </c>
      <c r="H65" s="11" t="str">
        <f>$B65*0.9</f>
        <v>#ERROR!</v>
      </c>
      <c r="I65" s="19" t="str">
        <f t="shared" ref="I65:O65" si="13">$B65</f>
        <v>#ERROR!</v>
      </c>
      <c r="J65" s="19" t="str">
        <f t="shared" si="13"/>
        <v>#ERROR!</v>
      </c>
      <c r="K65" s="19" t="str">
        <f t="shared" si="13"/>
        <v>#ERROR!</v>
      </c>
      <c r="L65" s="19" t="str">
        <f t="shared" si="13"/>
        <v>#ERROR!</v>
      </c>
      <c r="M65" s="19" t="str">
        <f t="shared" si="13"/>
        <v>#ERROR!</v>
      </c>
      <c r="N65" s="19" t="str">
        <f t="shared" si="13"/>
        <v>#ERROR!</v>
      </c>
      <c r="O65" s="19" t="str">
        <f t="shared" si="13"/>
        <v>#ERROR!</v>
      </c>
      <c r="T65" s="26" t="str">
        <f>'System Parameters'!#REF!</f>
        <v>#ERROR!</v>
      </c>
      <c r="U65" s="26" t="str">
        <f>'System Parameters'!#REF!</f>
        <v>#ERROR!</v>
      </c>
      <c r="V65" s="26" t="str">
        <f>'System Parameters'!#REF!</f>
        <v>#ERROR!</v>
      </c>
      <c r="W65" s="11" t="str">
        <f>'System Parameters'!#REF!</f>
        <v>#ERROR!</v>
      </c>
    </row>
    <row r="66" ht="15.75" customHeight="1">
      <c r="A66" s="11" t="str">
        <f>'System Parameters'!#REF!</f>
        <v>#ERROR!</v>
      </c>
      <c r="B66" s="19" t="str">
        <f>'System Parameters'!#REF!</f>
        <v>#ERROR!</v>
      </c>
      <c r="C66" s="11" t="str">
        <f>'System Parameters'!#REF!</f>
        <v>#ERROR!</v>
      </c>
      <c r="D66" s="19" t="str">
        <f t="shared" si="3"/>
        <v>#ERROR!</v>
      </c>
      <c r="E66" s="19" t="str">
        <f t="shared" si="5"/>
        <v>#ERROR!</v>
      </c>
      <c r="F66" s="19" t="str">
        <f t="shared" si="9"/>
        <v>#ERROR!</v>
      </c>
      <c r="G66" s="19" t="str">
        <f t="shared" si="14"/>
        <v>#ERROR!</v>
      </c>
      <c r="H66" s="19" t="str">
        <f t="shared" ref="H66:H76" si="16">$B66</f>
        <v>#ERROR!</v>
      </c>
      <c r="I66" s="11" t="str">
        <f>$B66*0.9</f>
        <v>#ERROR!</v>
      </c>
      <c r="J66" s="19" t="str">
        <f t="shared" ref="J66:O66" si="15">$B66</f>
        <v>#ERROR!</v>
      </c>
      <c r="K66" s="19" t="str">
        <f t="shared" si="15"/>
        <v>#ERROR!</v>
      </c>
      <c r="L66" s="19" t="str">
        <f t="shared" si="15"/>
        <v>#ERROR!</v>
      </c>
      <c r="M66" s="19" t="str">
        <f t="shared" si="15"/>
        <v>#ERROR!</v>
      </c>
      <c r="N66" s="19" t="str">
        <f t="shared" si="15"/>
        <v>#ERROR!</v>
      </c>
      <c r="O66" s="19" t="str">
        <f t="shared" si="15"/>
        <v>#ERROR!</v>
      </c>
      <c r="T66" s="26" t="str">
        <f>'System Parameters'!#REF!</f>
        <v>#ERROR!</v>
      </c>
      <c r="U66" s="26" t="str">
        <f>'System Parameters'!#REF!</f>
        <v>#ERROR!</v>
      </c>
      <c r="V66" s="26" t="str">
        <f>'System Parameters'!#REF!</f>
        <v>#ERROR!</v>
      </c>
      <c r="W66" s="11" t="str">
        <f>'System Parameters'!#REF!</f>
        <v>#ERROR!</v>
      </c>
    </row>
    <row r="67" ht="15.75" customHeight="1">
      <c r="A67" s="11" t="str">
        <f>'System Parameters'!#REF!</f>
        <v>#ERROR!</v>
      </c>
      <c r="B67" s="19" t="str">
        <f>'System Parameters'!#REF!</f>
        <v>#ERROR!</v>
      </c>
      <c r="C67" s="11" t="str">
        <f>'System Parameters'!#REF!</f>
        <v>#ERROR!</v>
      </c>
      <c r="D67" s="19" t="str">
        <f t="shared" si="3"/>
        <v>#ERROR!</v>
      </c>
      <c r="E67" s="19" t="str">
        <f t="shared" si="5"/>
        <v>#ERROR!</v>
      </c>
      <c r="F67" s="19" t="str">
        <f t="shared" si="9"/>
        <v>#ERROR!</v>
      </c>
      <c r="G67" s="19" t="str">
        <f t="shared" si="14"/>
        <v>#ERROR!</v>
      </c>
      <c r="H67" s="19" t="str">
        <f t="shared" si="16"/>
        <v>#ERROR!</v>
      </c>
      <c r="I67" s="19" t="str">
        <f t="shared" ref="I67:I76" si="18">$B67</f>
        <v>#ERROR!</v>
      </c>
      <c r="J67" s="11" t="str">
        <f>$B67*0.9</f>
        <v>#ERROR!</v>
      </c>
      <c r="K67" s="19" t="str">
        <f t="shared" ref="K67:O67" si="17">$B67</f>
        <v>#ERROR!</v>
      </c>
      <c r="L67" s="19" t="str">
        <f t="shared" si="17"/>
        <v>#ERROR!</v>
      </c>
      <c r="M67" s="19" t="str">
        <f t="shared" si="17"/>
        <v>#ERROR!</v>
      </c>
      <c r="N67" s="19" t="str">
        <f t="shared" si="17"/>
        <v>#ERROR!</v>
      </c>
      <c r="O67" s="19" t="str">
        <f t="shared" si="17"/>
        <v>#ERROR!</v>
      </c>
      <c r="T67" s="26" t="str">
        <f>'System Parameters'!#REF!</f>
        <v>#ERROR!</v>
      </c>
      <c r="U67" s="26" t="str">
        <f>'System Parameters'!#REF!</f>
        <v>#ERROR!</v>
      </c>
      <c r="V67" s="26" t="str">
        <f>'System Parameters'!#REF!</f>
        <v>#ERROR!</v>
      </c>
      <c r="W67" s="11" t="str">
        <f>'System Parameters'!#REF!</f>
        <v>#ERROR!</v>
      </c>
    </row>
    <row r="68" ht="15.75" customHeight="1">
      <c r="A68" s="11" t="str">
        <f>'System Parameters'!A14</f>
        <v/>
      </c>
      <c r="B68" s="19" t="str">
        <f>'System Parameters'!B14</f>
        <v/>
      </c>
      <c r="C68" s="11" t="str">
        <f>'System Parameters'!C14</f>
        <v/>
      </c>
      <c r="D68" s="19" t="str">
        <f t="shared" si="3"/>
        <v/>
      </c>
      <c r="E68" s="19" t="str">
        <f t="shared" si="5"/>
        <v/>
      </c>
      <c r="F68" s="19" t="str">
        <f t="shared" si="9"/>
        <v/>
      </c>
      <c r="G68" s="19" t="str">
        <f t="shared" si="14"/>
        <v/>
      </c>
      <c r="H68" s="19" t="str">
        <f t="shared" si="16"/>
        <v/>
      </c>
      <c r="I68" s="19" t="str">
        <f t="shared" si="18"/>
        <v/>
      </c>
      <c r="J68" s="19" t="str">
        <f t="shared" ref="J68:O68" si="19">$B68</f>
        <v/>
      </c>
      <c r="K68" s="19" t="str">
        <f t="shared" si="19"/>
        <v/>
      </c>
      <c r="L68" s="19" t="str">
        <f t="shared" si="19"/>
        <v/>
      </c>
      <c r="M68" s="19" t="str">
        <f t="shared" si="19"/>
        <v/>
      </c>
      <c r="N68" s="19" t="str">
        <f t="shared" si="19"/>
        <v/>
      </c>
      <c r="O68" s="19" t="str">
        <f t="shared" si="19"/>
        <v/>
      </c>
      <c r="T68" s="11" t="str">
        <f>'System Parameters'!E14</f>
        <v/>
      </c>
      <c r="U68" s="11" t="str">
        <f>'System Parameters'!F14</f>
        <v/>
      </c>
      <c r="V68" s="11" t="str">
        <f>'System Parameters'!G14</f>
        <v/>
      </c>
      <c r="W68" s="11" t="str">
        <f>'System Parameters'!H14</f>
        <v/>
      </c>
    </row>
    <row r="69" ht="15.75" customHeight="1">
      <c r="A69" s="11" t="str">
        <f>'System Parameters'!A15</f>
        <v>Display(logic + indicator only)</v>
      </c>
      <c r="B69" s="19" t="str">
        <f>'System Parameters'!B15</f>
        <v/>
      </c>
      <c r="C69" s="11" t="str">
        <f>'System Parameters'!C15</f>
        <v/>
      </c>
      <c r="D69" s="19" t="str">
        <f t="shared" si="3"/>
        <v/>
      </c>
      <c r="E69" s="19" t="str">
        <f t="shared" si="5"/>
        <v/>
      </c>
      <c r="F69" s="19" t="str">
        <f t="shared" si="9"/>
        <v/>
      </c>
      <c r="G69" s="19" t="str">
        <f t="shared" si="14"/>
        <v/>
      </c>
      <c r="H69" s="19" t="str">
        <f t="shared" si="16"/>
        <v/>
      </c>
      <c r="I69" s="19" t="str">
        <f t="shared" si="18"/>
        <v/>
      </c>
      <c r="J69" s="19" t="str">
        <f t="shared" ref="J69:O69" si="20">$B69</f>
        <v/>
      </c>
      <c r="K69" s="19" t="str">
        <f t="shared" si="20"/>
        <v/>
      </c>
      <c r="L69" s="19" t="str">
        <f t="shared" si="20"/>
        <v/>
      </c>
      <c r="M69" s="19" t="str">
        <f t="shared" si="20"/>
        <v/>
      </c>
      <c r="N69" s="19" t="str">
        <f t="shared" si="20"/>
        <v/>
      </c>
      <c r="O69" s="19" t="str">
        <f t="shared" si="20"/>
        <v/>
      </c>
      <c r="T69" s="11" t="str">
        <f>'System Parameters'!E15</f>
        <v/>
      </c>
      <c r="U69" s="11" t="str">
        <f>'System Parameters'!F15</f>
        <v/>
      </c>
      <c r="V69" s="11" t="str">
        <f>'System Parameters'!G15</f>
        <v/>
      </c>
      <c r="W69" s="11" t="str">
        <f>'System Parameters'!H15</f>
        <v/>
      </c>
    </row>
    <row r="70" ht="15.75" customHeight="1">
      <c r="A70" s="11" t="str">
        <f>'System Parameters'!A16</f>
        <v>On</v>
      </c>
      <c r="B70" s="19">
        <f>'System Parameters'!B16</f>
        <v>20</v>
      </c>
      <c r="C70" s="11" t="str">
        <f>'System Parameters'!C16</f>
        <v>mW</v>
      </c>
      <c r="D70" s="19">
        <f t="shared" si="3"/>
        <v>20</v>
      </c>
      <c r="E70" s="19">
        <f t="shared" si="5"/>
        <v>20</v>
      </c>
      <c r="F70" s="19">
        <f t="shared" si="9"/>
        <v>20</v>
      </c>
      <c r="G70" s="19">
        <f t="shared" si="14"/>
        <v>20</v>
      </c>
      <c r="H70" s="19">
        <f t="shared" si="16"/>
        <v>20</v>
      </c>
      <c r="I70" s="19">
        <f t="shared" si="18"/>
        <v>20</v>
      </c>
      <c r="J70" s="19">
        <f t="shared" ref="J70:J76" si="22">$B70</f>
        <v>20</v>
      </c>
      <c r="K70" s="11">
        <f>$B70*0.9</f>
        <v>18</v>
      </c>
      <c r="L70" s="19">
        <f t="shared" ref="L70:O70" si="21">$B70</f>
        <v>20</v>
      </c>
      <c r="M70" s="19">
        <f t="shared" si="21"/>
        <v>20</v>
      </c>
      <c r="N70" s="19">
        <f t="shared" si="21"/>
        <v>20</v>
      </c>
      <c r="O70" s="19">
        <f t="shared" si="21"/>
        <v>20</v>
      </c>
      <c r="T70" s="26">
        <f>'System Parameters'!E16</f>
        <v>0</v>
      </c>
      <c r="U70" s="26">
        <f>'System Parameters'!F16</f>
        <v>0.2</v>
      </c>
      <c r="V70" s="26">
        <f>'System Parameters'!G16</f>
        <v>0.8</v>
      </c>
      <c r="W70" s="11" t="str">
        <f>'System Parameters'!H16</f>
        <v/>
      </c>
    </row>
    <row r="71" ht="15.75" customHeight="1">
      <c r="A71" s="11" t="str">
        <f>'System Parameters'!A17</f>
        <v>Off (leakage)</v>
      </c>
      <c r="B71" s="19">
        <f>'System Parameters'!B17</f>
        <v>1.0006</v>
      </c>
      <c r="C71" s="11" t="str">
        <f>'System Parameters'!C17</f>
        <v>mW</v>
      </c>
      <c r="D71" s="19">
        <f t="shared" si="3"/>
        <v>1.0006</v>
      </c>
      <c r="E71" s="19">
        <f t="shared" si="5"/>
        <v>1.0006</v>
      </c>
      <c r="F71" s="19">
        <f t="shared" si="9"/>
        <v>1.0006</v>
      </c>
      <c r="G71" s="19">
        <f t="shared" si="14"/>
        <v>1.0006</v>
      </c>
      <c r="H71" s="19">
        <f t="shared" si="16"/>
        <v>1.0006</v>
      </c>
      <c r="I71" s="19">
        <f t="shared" si="18"/>
        <v>1.0006</v>
      </c>
      <c r="J71" s="19">
        <f t="shared" si="22"/>
        <v>1.0006</v>
      </c>
      <c r="K71" s="19">
        <f t="shared" ref="K71:K76" si="24">$B71</f>
        <v>1.0006</v>
      </c>
      <c r="L71" s="11">
        <f>$B71*0.9</f>
        <v>0.90054</v>
      </c>
      <c r="M71" s="19">
        <f t="shared" ref="M71:O71" si="23">$B71</f>
        <v>1.0006</v>
      </c>
      <c r="N71" s="19">
        <f t="shared" si="23"/>
        <v>1.0006</v>
      </c>
      <c r="O71" s="19">
        <f t="shared" si="23"/>
        <v>1.0006</v>
      </c>
      <c r="T71" s="26">
        <f>'System Parameters'!E17</f>
        <v>1</v>
      </c>
      <c r="U71" s="26">
        <f>'System Parameters'!F17</f>
        <v>0.8</v>
      </c>
      <c r="V71" s="26">
        <f>'System Parameters'!G17</f>
        <v>0.2</v>
      </c>
      <c r="W71" s="11" t="str">
        <f>'System Parameters'!H17</f>
        <v/>
      </c>
    </row>
    <row r="72" ht="15.75" customHeight="1">
      <c r="A72" s="11" t="str">
        <f>'System Parameters'!A18</f>
        <v/>
      </c>
      <c r="B72" s="11" t="str">
        <f>'System Parameters'!B18</f>
        <v/>
      </c>
      <c r="C72" s="11" t="str">
        <f>'System Parameters'!C18</f>
        <v/>
      </c>
      <c r="D72" s="11" t="str">
        <f t="shared" si="3"/>
        <v/>
      </c>
      <c r="E72" s="11" t="str">
        <f t="shared" si="5"/>
        <v/>
      </c>
      <c r="F72" s="11" t="str">
        <f t="shared" si="9"/>
        <v/>
      </c>
      <c r="G72" s="11" t="str">
        <f t="shared" si="14"/>
        <v/>
      </c>
      <c r="H72" s="11" t="str">
        <f t="shared" si="16"/>
        <v/>
      </c>
      <c r="I72" s="11" t="str">
        <f t="shared" si="18"/>
        <v/>
      </c>
      <c r="J72" s="11" t="str">
        <f t="shared" si="22"/>
        <v/>
      </c>
      <c r="K72" s="11" t="str">
        <f t="shared" si="24"/>
        <v/>
      </c>
      <c r="L72" s="11" t="str">
        <f t="shared" ref="L72:O72" si="25">$B72</f>
        <v/>
      </c>
      <c r="M72" s="11" t="str">
        <f t="shared" si="25"/>
        <v/>
      </c>
      <c r="N72" s="11" t="str">
        <f t="shared" si="25"/>
        <v/>
      </c>
      <c r="O72" s="11" t="str">
        <f t="shared" si="25"/>
        <v/>
      </c>
      <c r="T72" s="11" t="str">
        <f>'System Parameters'!E18</f>
        <v/>
      </c>
      <c r="U72" s="11" t="str">
        <f>'System Parameters'!F18</f>
        <v/>
      </c>
      <c r="V72" s="11" t="str">
        <f>'System Parameters'!G18</f>
        <v/>
      </c>
      <c r="W72" s="11" t="str">
        <f>'System Parameters'!H18</f>
        <v/>
      </c>
    </row>
    <row r="73" ht="15.75" customHeight="1">
      <c r="A73" s="11" t="str">
        <f>'System Parameters'!#REF!</f>
        <v>#ERROR!</v>
      </c>
      <c r="B73" s="11" t="str">
        <f>'System Parameters'!#REF!</f>
        <v>#ERROR!</v>
      </c>
      <c r="C73" s="11" t="str">
        <f>'System Parameters'!#REF!</f>
        <v>#ERROR!</v>
      </c>
      <c r="D73" s="11" t="str">
        <f t="shared" si="3"/>
        <v>#ERROR!</v>
      </c>
      <c r="E73" s="11" t="str">
        <f t="shared" si="5"/>
        <v>#ERROR!</v>
      </c>
      <c r="F73" s="11" t="str">
        <f t="shared" si="9"/>
        <v>#ERROR!</v>
      </c>
      <c r="G73" s="11" t="str">
        <f t="shared" si="14"/>
        <v>#ERROR!</v>
      </c>
      <c r="H73" s="11" t="str">
        <f t="shared" si="16"/>
        <v>#ERROR!</v>
      </c>
      <c r="I73" s="11" t="str">
        <f t="shared" si="18"/>
        <v>#ERROR!</v>
      </c>
      <c r="J73" s="11" t="str">
        <f t="shared" si="22"/>
        <v>#ERROR!</v>
      </c>
      <c r="K73" s="11" t="str">
        <f t="shared" si="24"/>
        <v>#ERROR!</v>
      </c>
      <c r="L73" s="11" t="str">
        <f t="shared" ref="L73:O73" si="26">$B73</f>
        <v>#ERROR!</v>
      </c>
      <c r="M73" s="11" t="str">
        <f t="shared" si="26"/>
        <v>#ERROR!</v>
      </c>
      <c r="N73" s="11" t="str">
        <f t="shared" si="26"/>
        <v>#ERROR!</v>
      </c>
      <c r="O73" s="11" t="str">
        <f t="shared" si="26"/>
        <v>#ERROR!</v>
      </c>
      <c r="T73" s="11" t="str">
        <f>'System Parameters'!#REF!</f>
        <v>#ERROR!</v>
      </c>
      <c r="U73" s="11" t="str">
        <f>'System Parameters'!#REF!</f>
        <v>#ERROR!</v>
      </c>
      <c r="V73" s="11" t="str">
        <f>'System Parameters'!#REF!</f>
        <v>#ERROR!</v>
      </c>
      <c r="W73" s="11" t="str">
        <f>'System Parameters'!#REF!</f>
        <v>#ERROR!</v>
      </c>
    </row>
    <row r="74" ht="15.75" customHeight="1">
      <c r="A74" s="11" t="str">
        <f>'System Parameters'!#REF!</f>
        <v>#ERROR!</v>
      </c>
      <c r="B74" s="19" t="str">
        <f>'System Parameters'!#REF!</f>
        <v>#ERROR!</v>
      </c>
      <c r="C74" s="11" t="str">
        <f>'System Parameters'!#REF!</f>
        <v>#ERROR!</v>
      </c>
      <c r="D74" s="19" t="str">
        <f t="shared" si="3"/>
        <v>#ERROR!</v>
      </c>
      <c r="E74" s="19" t="str">
        <f t="shared" si="5"/>
        <v>#ERROR!</v>
      </c>
      <c r="F74" s="19" t="str">
        <f t="shared" si="9"/>
        <v>#ERROR!</v>
      </c>
      <c r="G74" s="19" t="str">
        <f t="shared" si="14"/>
        <v>#ERROR!</v>
      </c>
      <c r="H74" s="19" t="str">
        <f t="shared" si="16"/>
        <v>#ERROR!</v>
      </c>
      <c r="I74" s="19" t="str">
        <f t="shared" si="18"/>
        <v>#ERROR!</v>
      </c>
      <c r="J74" s="19" t="str">
        <f t="shared" si="22"/>
        <v>#ERROR!</v>
      </c>
      <c r="K74" s="19" t="str">
        <f t="shared" si="24"/>
        <v>#ERROR!</v>
      </c>
      <c r="L74" s="19" t="str">
        <f t="shared" ref="L74:L76" si="28">$B74</f>
        <v>#ERROR!</v>
      </c>
      <c r="M74" s="11" t="str">
        <f>$B74*0.9</f>
        <v>#ERROR!</v>
      </c>
      <c r="N74" s="19" t="str">
        <f t="shared" ref="N74:O74" si="27">$B74</f>
        <v>#ERROR!</v>
      </c>
      <c r="O74" s="19" t="str">
        <f t="shared" si="27"/>
        <v>#ERROR!</v>
      </c>
      <c r="T74" s="26" t="str">
        <f>'System Parameters'!#REF!</f>
        <v>#ERROR!</v>
      </c>
      <c r="U74" s="26" t="str">
        <f>'System Parameters'!#REF!</f>
        <v>#ERROR!</v>
      </c>
      <c r="V74" s="26" t="str">
        <f>'System Parameters'!#REF!</f>
        <v>#ERROR!</v>
      </c>
      <c r="W74" s="11" t="str">
        <f>'System Parameters'!#REF!</f>
        <v>#ERROR!</v>
      </c>
    </row>
    <row r="75" ht="15.75" customHeight="1">
      <c r="A75" s="11" t="str">
        <f>'System Parameters'!#REF!</f>
        <v>#ERROR!</v>
      </c>
      <c r="B75" s="19" t="str">
        <f>'System Parameters'!#REF!</f>
        <v>#ERROR!</v>
      </c>
      <c r="C75" s="11" t="str">
        <f>'System Parameters'!#REF!</f>
        <v>#ERROR!</v>
      </c>
      <c r="D75" s="19" t="str">
        <f t="shared" si="3"/>
        <v>#ERROR!</v>
      </c>
      <c r="E75" s="19" t="str">
        <f t="shared" si="5"/>
        <v>#ERROR!</v>
      </c>
      <c r="F75" s="19" t="str">
        <f t="shared" si="9"/>
        <v>#ERROR!</v>
      </c>
      <c r="G75" s="19" t="str">
        <f t="shared" si="14"/>
        <v>#ERROR!</v>
      </c>
      <c r="H75" s="19" t="str">
        <f t="shared" si="16"/>
        <v>#ERROR!</v>
      </c>
      <c r="I75" s="19" t="str">
        <f t="shared" si="18"/>
        <v>#ERROR!</v>
      </c>
      <c r="J75" s="19" t="str">
        <f t="shared" si="22"/>
        <v>#ERROR!</v>
      </c>
      <c r="K75" s="19" t="str">
        <f t="shared" si="24"/>
        <v>#ERROR!</v>
      </c>
      <c r="L75" s="19" t="str">
        <f t="shared" si="28"/>
        <v>#ERROR!</v>
      </c>
      <c r="M75" s="19" t="str">
        <f t="shared" ref="M75:M76" si="29">$B75</f>
        <v>#ERROR!</v>
      </c>
      <c r="N75" s="11" t="str">
        <f>$B75*0.9</f>
        <v>#ERROR!</v>
      </c>
      <c r="O75" s="19" t="str">
        <f>$B75</f>
        <v>#ERROR!</v>
      </c>
      <c r="T75" s="26" t="str">
        <f>'System Parameters'!#REF!</f>
        <v>#ERROR!</v>
      </c>
      <c r="U75" s="26" t="str">
        <f>'System Parameters'!#REF!</f>
        <v>#ERROR!</v>
      </c>
      <c r="V75" s="26" t="str">
        <f>'System Parameters'!#REF!</f>
        <v>#ERROR!</v>
      </c>
      <c r="W75" s="11" t="str">
        <f>'System Parameters'!H19</f>
        <v/>
      </c>
    </row>
    <row r="76" ht="15.75" customHeight="1">
      <c r="A76" s="11" t="str">
        <f>'System Parameters'!#REF!</f>
        <v>#ERROR!</v>
      </c>
      <c r="B76" s="19" t="str">
        <f>'System Parameters'!#REF!</f>
        <v>#ERROR!</v>
      </c>
      <c r="C76" s="11" t="str">
        <f>'System Parameters'!#REF!</f>
        <v>#ERROR!</v>
      </c>
      <c r="D76" s="19" t="str">
        <f t="shared" si="3"/>
        <v>#ERROR!</v>
      </c>
      <c r="E76" s="19" t="str">
        <f t="shared" si="5"/>
        <v>#ERROR!</v>
      </c>
      <c r="F76" s="19" t="str">
        <f t="shared" si="9"/>
        <v>#ERROR!</v>
      </c>
      <c r="G76" s="19" t="str">
        <f t="shared" si="14"/>
        <v>#ERROR!</v>
      </c>
      <c r="H76" s="19" t="str">
        <f t="shared" si="16"/>
        <v>#ERROR!</v>
      </c>
      <c r="I76" s="19" t="str">
        <f t="shared" si="18"/>
        <v>#ERROR!</v>
      </c>
      <c r="J76" s="19" t="str">
        <f t="shared" si="22"/>
        <v>#ERROR!</v>
      </c>
      <c r="K76" s="19" t="str">
        <f t="shared" si="24"/>
        <v>#ERROR!</v>
      </c>
      <c r="L76" s="19" t="str">
        <f t="shared" si="28"/>
        <v>#ERROR!</v>
      </c>
      <c r="M76" s="19" t="str">
        <f t="shared" si="29"/>
        <v>#ERROR!</v>
      </c>
      <c r="N76" s="19" t="str">
        <f>$B76</f>
        <v>#ERROR!</v>
      </c>
      <c r="O76" s="11" t="str">
        <f>$B76*0.9</f>
        <v>#ERROR!</v>
      </c>
      <c r="T76" s="26" t="str">
        <f>'System Parameters'!#REF!</f>
        <v>#ERROR!</v>
      </c>
      <c r="U76" s="26" t="str">
        <f>'System Parameters'!#REF!</f>
        <v>#ERROR!</v>
      </c>
      <c r="V76" s="26" t="str">
        <f>'System Parameters'!#REF!</f>
        <v>#ERROR!</v>
      </c>
      <c r="W76" s="11" t="str">
        <f>'System Parameters'!H20</f>
        <v/>
      </c>
    </row>
    <row r="77" ht="15.75" customHeight="1">
      <c r="A77" s="11" t="str">
        <f>'System Parameters'!#REF!</f>
        <v>#ERROR!</v>
      </c>
      <c r="B77" s="11" t="str">
        <f>'System Parameters'!#REF!</f>
        <v>#ERROR!</v>
      </c>
      <c r="C77" s="11" t="str">
        <f>'System Parameters'!#REF!</f>
        <v>#ERROR!</v>
      </c>
      <c r="D77" s="11" t="str">
        <f>'System Parameters'!#REF!</f>
        <v>#ERROR!</v>
      </c>
      <c r="T77" s="11" t="str">
        <f>'System Parameters'!#REF!</f>
        <v>#ERROR!</v>
      </c>
      <c r="U77" s="11" t="str">
        <f>'System Parameters'!#REF!</f>
        <v>#ERROR!</v>
      </c>
      <c r="V77" s="11" t="str">
        <f>'System Parameters'!#REF!</f>
        <v>#ERROR!</v>
      </c>
      <c r="W77" s="11" t="str">
        <f>'System Parameters'!H21</f>
        <v/>
      </c>
    </row>
    <row r="78" ht="15.75" customHeight="1">
      <c r="A78" s="11" t="str">
        <f>'System Parameters'!#REF!</f>
        <v>#ERROR!</v>
      </c>
      <c r="B78" s="11" t="str">
        <f>'System Parameters'!#REF!</f>
        <v>#ERROR!</v>
      </c>
      <c r="C78" s="11" t="str">
        <f>'System Parameters'!#REF!</f>
        <v>#ERROR!</v>
      </c>
      <c r="D78" s="11" t="str">
        <f>'System Parameters'!#REF!</f>
        <v>#ERROR!</v>
      </c>
      <c r="T78" s="11" t="str">
        <f>'System Parameters'!#REF!</f>
        <v>#ERROR!</v>
      </c>
      <c r="U78" s="11" t="str">
        <f>'System Parameters'!#REF!</f>
        <v>#ERROR!</v>
      </c>
      <c r="V78" s="11" t="str">
        <f>'System Parameters'!#REF!</f>
        <v>#ERROR!</v>
      </c>
      <c r="W78" s="11" t="str">
        <f>'System Parameters'!#REF!</f>
        <v>#ERROR!</v>
      </c>
    </row>
    <row r="79" ht="15.75" customHeight="1">
      <c r="A79" s="11" t="str">
        <f>'System Parameters'!A24</f>
        <v>Battery</v>
      </c>
      <c r="B79" s="11" t="str">
        <f>'System Parameters'!B24</f>
        <v/>
      </c>
      <c r="C79" s="11" t="str">
        <f>'System Parameters'!C24</f>
        <v/>
      </c>
      <c r="D79" s="11" t="str">
        <f>'System Parameters'!#REF!</f>
        <v>#ERROR!</v>
      </c>
      <c r="T79" s="11" t="str">
        <f>'System Parameters'!#REF!</f>
        <v>#ERROR!</v>
      </c>
      <c r="U79" s="11" t="str">
        <f>'System Parameters'!#REF!</f>
        <v>#ERROR!</v>
      </c>
      <c r="V79" s="11" t="str">
        <f>'System Parameters'!#REF!</f>
        <v>#ERROR!</v>
      </c>
      <c r="W79" s="11" t="str">
        <f>'System Parameters'!H23</f>
        <v>hours/day typical usage</v>
      </c>
    </row>
    <row r="80" ht="15.75" customHeight="1">
      <c r="A80" s="11" t="str">
        <f>'System Parameters'!A25</f>
        <v>Capacity</v>
      </c>
      <c r="B80" s="19">
        <f>'System Parameters'!B25</f>
        <v>1000</v>
      </c>
      <c r="C80" s="11" t="str">
        <f>'System Parameters'!C25</f>
        <v>mAh</v>
      </c>
      <c r="D80" s="11" t="str">
        <f>'System Parameters'!#REF!</f>
        <v>#ERROR!</v>
      </c>
      <c r="T80" s="11" t="str">
        <f>'System Parameters'!#REF!</f>
        <v>#ERROR!</v>
      </c>
      <c r="U80" s="11" t="str">
        <f>'System Parameters'!#REF!</f>
        <v>#ERROR!</v>
      </c>
      <c r="V80" s="11" t="str">
        <f>'System Parameters'!#REF!</f>
        <v>#ERROR!</v>
      </c>
      <c r="W80" s="11" t="str">
        <f>'System Parameters'!H24</f>
        <v/>
      </c>
    </row>
    <row r="81" ht="15.75" customHeight="1">
      <c r="A81" s="11" t="str">
        <f>'System Parameters'!A26</f>
        <v>Nominal Voltage</v>
      </c>
      <c r="B81" s="19">
        <f>'System Parameters'!B26</f>
        <v>3.7</v>
      </c>
      <c r="C81" s="11" t="str">
        <f>'System Parameters'!C26</f>
        <v>V</v>
      </c>
      <c r="D81" s="11" t="str">
        <f>'System Parameters'!#REF!</f>
        <v>#ERROR!</v>
      </c>
      <c r="T81" s="11" t="str">
        <f>'System Parameters'!#REF!</f>
        <v>#ERROR!</v>
      </c>
      <c r="U81" s="11" t="str">
        <f>'System Parameters'!#REF!</f>
        <v>#ERROR!</v>
      </c>
      <c r="V81" s="11" t="str">
        <f>'System Parameters'!#REF!</f>
        <v>#ERROR!</v>
      </c>
      <c r="W81" s="11" t="str">
        <f>'System Parameters'!H25</f>
        <v/>
      </c>
    </row>
    <row r="82" ht="15.75" customHeight="1">
      <c r="A82" s="11" t="str">
        <f>'System Parameters'!A27</f>
        <v>Regulator Efficiency</v>
      </c>
      <c r="B82" s="26">
        <f>'System Parameters'!B27</f>
        <v>0.9</v>
      </c>
      <c r="C82" s="11" t="str">
        <f>'System Parameters'!C27</f>
        <v/>
      </c>
      <c r="D82" s="11" t="str">
        <f>'System Parameters'!D22</f>
        <v/>
      </c>
      <c r="T82" s="11" t="str">
        <f>'System Parameters'!E22</f>
        <v/>
      </c>
      <c r="U82" s="11" t="str">
        <f>'System Parameters'!F22</f>
        <v/>
      </c>
      <c r="V82" s="11" t="str">
        <f>'System Parameters'!G22</f>
        <v/>
      </c>
      <c r="W82" s="11" t="str">
        <f>'System Parameters'!H26</f>
        <v/>
      </c>
    </row>
    <row r="83" ht="15.75" customHeight="1">
      <c r="A83" s="11" t="str">
        <f>'System Parameters'!#REF!</f>
        <v>#ERROR!</v>
      </c>
      <c r="B83" s="11" t="str">
        <f>'System Parameters'!#REF!</f>
        <v>#ERROR!</v>
      </c>
      <c r="C83" s="11" t="str">
        <f>'System Parameters'!C21</f>
        <v>mW</v>
      </c>
      <c r="D83" s="11" t="str">
        <f>'System Parameters'!D27</f>
        <v/>
      </c>
      <c r="O83" s="11" t="str">
        <f>'System Parameters'!E27</f>
        <v/>
      </c>
      <c r="P83" s="11" t="str">
        <f>'System Parameters'!F27</f>
        <v/>
      </c>
      <c r="Q83" s="11" t="str">
        <f>'System Parameters'!G27</f>
        <v/>
      </c>
      <c r="R83" s="11" t="str">
        <f>'System Parameters'!H51</f>
        <v/>
      </c>
      <c r="S83" s="11" t="str">
        <f>'System Parameters'!#REF!</f>
        <v>#ERROR!</v>
      </c>
      <c r="T83" s="11" t="str">
        <f>'System Parameters'!J39</f>
        <v/>
      </c>
      <c r="U83" s="11" t="str">
        <f t="shared" ref="U83:V83" si="30">#REF!</f>
        <v>#REF!</v>
      </c>
      <c r="V83" s="11" t="str">
        <f t="shared" si="30"/>
        <v>#REF!</v>
      </c>
    </row>
    <row r="84" ht="15.75" customHeight="1">
      <c r="A84" s="11" t="str">
        <f>'System Parameters'!A28</f>
        <v/>
      </c>
      <c r="B84" s="11" t="str">
        <f>'System Parameters'!B28</f>
        <v/>
      </c>
      <c r="C84" s="11" t="str">
        <f>'System Parameters'!C28</f>
        <v/>
      </c>
      <c r="D84" s="11" t="str">
        <f>'System Parameters'!D28</f>
        <v/>
      </c>
      <c r="O84" s="11" t="str">
        <f>'System Parameters'!E28</f>
        <v/>
      </c>
      <c r="P84" s="11" t="str">
        <f>'System Parameters'!F28</f>
        <v/>
      </c>
      <c r="Q84" s="11" t="str">
        <f>'System Parameters'!G28</f>
        <v/>
      </c>
      <c r="R84" s="11" t="str">
        <f>'System Parameters'!H52</f>
        <v/>
      </c>
      <c r="S84" s="11" t="str">
        <f>'System Parameters'!I29</f>
        <v/>
      </c>
      <c r="T84" s="11" t="str">
        <f>'System Parameters'!J40</f>
        <v/>
      </c>
      <c r="U84" s="11" t="str">
        <f t="shared" ref="U84:V84" si="31">#REF!</f>
        <v>#REF!</v>
      </c>
      <c r="V84" s="11" t="str">
        <f t="shared" si="31"/>
        <v>#REF!</v>
      </c>
    </row>
    <row r="85" ht="15.75" customHeight="1">
      <c r="A85" s="11" t="str">
        <f>'System Parameters'!#REF!</f>
        <v>#ERROR!</v>
      </c>
      <c r="B85" s="11" t="str">
        <f>'System Parameters'!K3</f>
        <v/>
      </c>
      <c r="C85" s="11" t="str">
        <f>'System Parameters'!L3</f>
        <v/>
      </c>
      <c r="D85" s="11" t="str">
        <f>'System Parameters'!M3</f>
        <v/>
      </c>
      <c r="O85" s="11" t="str">
        <f>'System Parameters'!N3</f>
        <v/>
      </c>
      <c r="P85" s="11" t="str">
        <f>'System Parameters'!O3</f>
        <v/>
      </c>
      <c r="Q85" s="11" t="str">
        <f>'System Parameters'!P3</f>
        <v/>
      </c>
      <c r="R85" s="11" t="str">
        <f>'System Parameters'!Q3</f>
        <v/>
      </c>
      <c r="S85" s="11" t="str">
        <f>'System Parameters'!I30</f>
        <v/>
      </c>
      <c r="T85" s="11" t="str">
        <f>'System Parameters'!J41</f>
        <v/>
      </c>
      <c r="U85" s="11" t="str">
        <f t="shared" ref="U85:V85" si="32">#REF!</f>
        <v>#REF!</v>
      </c>
      <c r="V85" s="11" t="str">
        <f t="shared" si="32"/>
        <v>#REF!</v>
      </c>
    </row>
    <row r="86" ht="15.75" customHeight="1">
      <c r="A86" s="11" t="str">
        <f>'System Parameters'!A50</f>
        <v>Days of use</v>
      </c>
      <c r="B86" s="11" t="str">
        <f>'System Parameters'!K4</f>
        <v/>
      </c>
      <c r="C86" s="11" t="str">
        <f t="shared" ref="C86:D86" si="33">#REF!</f>
        <v>#REF!</v>
      </c>
      <c r="D86" s="11" t="str">
        <f t="shared" si="33"/>
        <v>#REF!</v>
      </c>
      <c r="O86" s="11" t="str">
        <f t="shared" ref="O86:Q86" si="34">#REF!</f>
        <v>#REF!</v>
      </c>
      <c r="P86" s="11" t="str">
        <f t="shared" si="34"/>
        <v>#REF!</v>
      </c>
      <c r="Q86" s="11" t="str">
        <f t="shared" si="34"/>
        <v>#REF!</v>
      </c>
      <c r="R86" s="11" t="str">
        <f>'System Parameters'!Q4</f>
        <v/>
      </c>
      <c r="S86" s="11" t="str">
        <f>'System Parameters'!I31</f>
        <v/>
      </c>
      <c r="T86" s="11" t="str">
        <f>'System Parameters'!J42</f>
        <v/>
      </c>
      <c r="U86" s="11" t="str">
        <f t="shared" ref="U86:V86" si="35">#REF!</f>
        <v>#REF!</v>
      </c>
      <c r="V86" s="11" t="str">
        <f t="shared" si="35"/>
        <v>#REF!</v>
      </c>
    </row>
    <row r="87" ht="15.75" customHeight="1">
      <c r="A87" s="11" t="str">
        <f>'System Parameters'!L4</f>
        <v>Total power in profile (mw)</v>
      </c>
      <c r="B87" s="11" t="str">
        <f>'System Parameters'!M4</f>
        <v/>
      </c>
      <c r="C87" s="11" t="str">
        <f>'System Parameters'!N4</f>
        <v/>
      </c>
      <c r="R87" s="11" t="str">
        <f>'System Parameters'!Q5</f>
        <v/>
      </c>
      <c r="S87" s="11" t="str">
        <f>'System Parameters'!I32</f>
        <v/>
      </c>
      <c r="T87" s="11" t="str">
        <f>'System Parameters'!J43</f>
        <v/>
      </c>
      <c r="U87" s="11" t="str">
        <f>'System Parameters'!K43</f>
        <v/>
      </c>
      <c r="V87" s="11" t="str">
        <f>'System Parameters'!L43</f>
        <v/>
      </c>
    </row>
    <row r="88" ht="15.75" customHeight="1">
      <c r="A88" s="11" t="str">
        <f>'System Parameters'!L5</f>
        <v>"off"</v>
      </c>
      <c r="B88" s="11" t="str">
        <f>SUMPRODUCT(B56:B76, $T56:$T76)</f>
        <v>#ERROR!</v>
      </c>
      <c r="C88" s="11" t="str">
        <f>'System Parameters'!N5</f>
        <v>mW</v>
      </c>
      <c r="D88" s="11" t="str">
        <f t="shared" ref="D88:O88" si="36">SUMPRODUCT(D56:D76, $T56:$T76)</f>
        <v>#ERROR!</v>
      </c>
      <c r="E88" s="11" t="str">
        <f t="shared" si="36"/>
        <v>#ERROR!</v>
      </c>
      <c r="F88" s="11" t="str">
        <f t="shared" si="36"/>
        <v>#ERROR!</v>
      </c>
      <c r="G88" s="11" t="str">
        <f t="shared" si="36"/>
        <v>#ERROR!</v>
      </c>
      <c r="H88" s="11" t="str">
        <f t="shared" si="36"/>
        <v>#ERROR!</v>
      </c>
      <c r="I88" s="11" t="str">
        <f t="shared" si="36"/>
        <v>#ERROR!</v>
      </c>
      <c r="J88" s="11" t="str">
        <f t="shared" si="36"/>
        <v>#ERROR!</v>
      </c>
      <c r="K88" s="11" t="str">
        <f t="shared" si="36"/>
        <v>#ERROR!</v>
      </c>
      <c r="L88" s="11" t="str">
        <f t="shared" si="36"/>
        <v>#ERROR!</v>
      </c>
      <c r="M88" s="11" t="str">
        <f t="shared" si="36"/>
        <v>#ERROR!</v>
      </c>
      <c r="N88" s="11" t="str">
        <f t="shared" si="36"/>
        <v>#ERROR!</v>
      </c>
      <c r="O88" s="11" t="str">
        <f t="shared" si="36"/>
        <v>#ERROR!</v>
      </c>
      <c r="R88" s="11" t="str">
        <f>'System Parameters'!Q6</f>
        <v/>
      </c>
      <c r="S88" s="11" t="str">
        <f>'System Parameters'!I33</f>
        <v/>
      </c>
      <c r="T88" s="11" t="str">
        <f>'System Parameters'!J44</f>
        <v/>
      </c>
      <c r="U88" s="11" t="str">
        <f>'System Parameters'!K44</f>
        <v/>
      </c>
      <c r="V88" s="11" t="str">
        <f>'System Parameters'!L44</f>
        <v/>
      </c>
    </row>
    <row r="89" ht="15.75" customHeight="1">
      <c r="A89" s="11" t="str">
        <f>'System Parameters'!L6</f>
        <v>"sensing"</v>
      </c>
      <c r="B89" s="11" t="str">
        <f>SUMPRODUCT(B56:B76,$U56:$U76)</f>
        <v>#ERROR!</v>
      </c>
      <c r="C89" s="11" t="str">
        <f>'System Parameters'!N6</f>
        <v>mW</v>
      </c>
      <c r="D89" s="11" t="str">
        <f t="shared" ref="D89:O89" si="37">SUMPRODUCT(D56:D76,$U56:$U76)</f>
        <v>#ERROR!</v>
      </c>
      <c r="E89" s="11" t="str">
        <f t="shared" si="37"/>
        <v>#ERROR!</v>
      </c>
      <c r="F89" s="11" t="str">
        <f t="shared" si="37"/>
        <v>#ERROR!</v>
      </c>
      <c r="G89" s="11" t="str">
        <f t="shared" si="37"/>
        <v>#ERROR!</v>
      </c>
      <c r="H89" s="11" t="str">
        <f t="shared" si="37"/>
        <v>#ERROR!</v>
      </c>
      <c r="I89" s="11" t="str">
        <f t="shared" si="37"/>
        <v>#ERROR!</v>
      </c>
      <c r="J89" s="11" t="str">
        <f t="shared" si="37"/>
        <v>#ERROR!</v>
      </c>
      <c r="K89" s="11" t="str">
        <f t="shared" si="37"/>
        <v>#ERROR!</v>
      </c>
      <c r="L89" s="11" t="str">
        <f t="shared" si="37"/>
        <v>#ERROR!</v>
      </c>
      <c r="M89" s="11" t="str">
        <f t="shared" si="37"/>
        <v>#ERROR!</v>
      </c>
      <c r="N89" s="11" t="str">
        <f t="shared" si="37"/>
        <v>#ERROR!</v>
      </c>
      <c r="O89" s="11" t="str">
        <f t="shared" si="37"/>
        <v>#ERROR!</v>
      </c>
      <c r="R89" s="11" t="str">
        <f>'System Parameters'!Q7</f>
        <v/>
      </c>
      <c r="S89" s="11" t="str">
        <f>'System Parameters'!I34</f>
        <v/>
      </c>
      <c r="T89" s="11" t="str">
        <f>'System Parameters'!J45</f>
        <v/>
      </c>
      <c r="U89" s="11" t="str">
        <f>'System Parameters'!K45</f>
        <v/>
      </c>
      <c r="V89" s="11" t="str">
        <f>'System Parameters'!L45</f>
        <v/>
      </c>
    </row>
    <row r="90" ht="15.75" customHeight="1">
      <c r="A90" s="11" t="str">
        <f>'System Parameters'!L7</f>
        <v>"interactive"</v>
      </c>
      <c r="B90" s="11" t="str">
        <f>SUMPRODUCT(B56:B76, $V56:$V76)</f>
        <v>#ERROR!</v>
      </c>
      <c r="C90" s="11" t="str">
        <f>'System Parameters'!N7</f>
        <v>mW</v>
      </c>
      <c r="D90" s="11" t="str">
        <f t="shared" ref="D90:O90" si="38">SUMPRODUCT(D56:D76, $V56:$V76)</f>
        <v>#ERROR!</v>
      </c>
      <c r="E90" s="11" t="str">
        <f t="shared" si="38"/>
        <v>#ERROR!</v>
      </c>
      <c r="F90" s="11" t="str">
        <f t="shared" si="38"/>
        <v>#ERROR!</v>
      </c>
      <c r="G90" s="11" t="str">
        <f t="shared" si="38"/>
        <v>#ERROR!</v>
      </c>
      <c r="H90" s="11" t="str">
        <f t="shared" si="38"/>
        <v>#ERROR!</v>
      </c>
      <c r="I90" s="11" t="str">
        <f t="shared" si="38"/>
        <v>#ERROR!</v>
      </c>
      <c r="J90" s="11" t="str">
        <f t="shared" si="38"/>
        <v>#ERROR!</v>
      </c>
      <c r="K90" s="11" t="str">
        <f t="shared" si="38"/>
        <v>#ERROR!</v>
      </c>
      <c r="L90" s="11" t="str">
        <f t="shared" si="38"/>
        <v>#ERROR!</v>
      </c>
      <c r="M90" s="11" t="str">
        <f t="shared" si="38"/>
        <v>#ERROR!</v>
      </c>
      <c r="N90" s="11" t="str">
        <f t="shared" si="38"/>
        <v>#ERROR!</v>
      </c>
      <c r="O90" s="11" t="str">
        <f t="shared" si="38"/>
        <v>#ERROR!</v>
      </c>
      <c r="R90" s="11" t="str">
        <f>'System Parameters'!Q8</f>
        <v/>
      </c>
      <c r="S90" s="11" t="str">
        <f>'System Parameters'!I35</f>
        <v/>
      </c>
      <c r="T90" s="11" t="str">
        <f>'System Parameters'!J46</f>
        <v/>
      </c>
      <c r="U90" s="11" t="str">
        <f>'System Parameters'!K46</f>
        <v/>
      </c>
      <c r="V90" s="11" t="str">
        <f>'System Parameters'!L46</f>
        <v/>
      </c>
    </row>
    <row r="91" ht="15.75" customHeight="1">
      <c r="A91" s="11" t="str">
        <f>'System Parameters'!L8</f>
        <v/>
      </c>
      <c r="B91" s="11" t="str">
        <f>'System Parameters'!M8</f>
        <v/>
      </c>
      <c r="C91" s="11" t="str">
        <f>'System Parameters'!N8</f>
        <v/>
      </c>
      <c r="D91" s="11" t="str">
        <f>'System Parameters'!O8</f>
        <v/>
      </c>
      <c r="E91" s="11" t="str">
        <f>'System Parameters'!P8</f>
        <v/>
      </c>
      <c r="F91" s="11" t="str">
        <f>'System Parameters'!Q9</f>
        <v/>
      </c>
      <c r="G91" s="11" t="str">
        <f>'System Parameters'!I36</f>
        <v/>
      </c>
      <c r="H91" s="11" t="str">
        <f>'System Parameters'!J47</f>
        <v/>
      </c>
      <c r="I91" s="11" t="str">
        <f>'System Parameters'!K47</f>
        <v/>
      </c>
      <c r="J91" s="11" t="str">
        <f>'System Parameters'!L47</f>
        <v/>
      </c>
      <c r="K91" s="11" t="str">
        <f>'System Parameters'!M47</f>
        <v/>
      </c>
      <c r="L91" s="11" t="str">
        <f>'System Parameters'!N47</f>
        <v/>
      </c>
      <c r="M91" s="11" t="str">
        <f>'System Parameters'!O47</f>
        <v/>
      </c>
      <c r="N91" s="11" t="str">
        <f>'System Parameters'!P47</f>
        <v/>
      </c>
      <c r="O91" s="11" t="str">
        <f>'System Parameters'!Q47</f>
        <v/>
      </c>
      <c r="R91" s="11" t="str">
        <f>'System Parameters'!Q9</f>
        <v/>
      </c>
      <c r="S91" s="11" t="str">
        <f>'System Parameters'!I36</f>
        <v/>
      </c>
      <c r="T91" s="11" t="str">
        <f>'System Parameters'!J47</f>
        <v/>
      </c>
      <c r="U91" s="11" t="str">
        <f>'System Parameters'!K47</f>
        <v/>
      </c>
      <c r="V91" s="11" t="str">
        <f>'System Parameters'!L47</f>
        <v/>
      </c>
    </row>
    <row r="92" ht="15.75" customHeight="1">
      <c r="A92" s="11" t="str">
        <f>'System Parameters'!L9</f>
        <v>Effective Battery Capacity</v>
      </c>
      <c r="B92" s="11" t="str">
        <f>'System Parameters'!M9</f>
        <v/>
      </c>
      <c r="C92" s="11" t="str">
        <f>'System Parameters'!N9</f>
        <v/>
      </c>
      <c r="D92" s="11" t="str">
        <f>'System Parameters'!O9</f>
        <v/>
      </c>
      <c r="E92" s="11" t="str">
        <f>'System Parameters'!P9</f>
        <v/>
      </c>
      <c r="F92" s="11" t="str">
        <f>'System Parameters'!Q10</f>
        <v/>
      </c>
      <c r="G92" s="11" t="str">
        <f>'System Parameters'!I37</f>
        <v/>
      </c>
      <c r="H92" s="11" t="str">
        <f>'System Parameters'!J48</f>
        <v/>
      </c>
      <c r="I92" s="11" t="str">
        <f>'System Parameters'!K48</f>
        <v/>
      </c>
      <c r="J92" s="11" t="str">
        <f>'System Parameters'!L48</f>
        <v/>
      </c>
      <c r="K92" s="11" t="str">
        <f>'System Parameters'!M48</f>
        <v/>
      </c>
      <c r="L92" s="11" t="str">
        <f>'System Parameters'!N48</f>
        <v/>
      </c>
      <c r="M92" s="11" t="str">
        <f>'System Parameters'!O48</f>
        <v/>
      </c>
      <c r="N92" s="11" t="str">
        <f>'System Parameters'!P48</f>
        <v/>
      </c>
      <c r="O92" s="11" t="str">
        <f>'System Parameters'!Q48</f>
        <v/>
      </c>
      <c r="P92" s="11" t="str">
        <f>'System Parameters'!O9</f>
        <v/>
      </c>
      <c r="Q92" s="11" t="str">
        <f>'System Parameters'!P9</f>
        <v/>
      </c>
      <c r="R92" s="11" t="str">
        <f>'System Parameters'!Q10</f>
        <v/>
      </c>
      <c r="S92" s="11" t="str">
        <f>'System Parameters'!I37</f>
        <v/>
      </c>
      <c r="T92" s="11" t="str">
        <f>'System Parameters'!J48</f>
        <v/>
      </c>
      <c r="U92" s="11" t="str">
        <f>'System Parameters'!K48</f>
        <v/>
      </c>
      <c r="V92" s="11" t="str">
        <f>'System Parameters'!L48</f>
        <v/>
      </c>
    </row>
    <row r="93" ht="15.75" customHeight="1">
      <c r="A93" s="11" t="str">
        <f>'System Parameters'!L10</f>
        <v/>
      </c>
      <c r="B93" s="11">
        <f>B80*B81*B82</f>
        <v>3330</v>
      </c>
      <c r="C93" s="11" t="str">
        <f>'System Parameters'!N10</f>
        <v>mW*h</v>
      </c>
      <c r="D93" s="11">
        <f t="shared" ref="D93:O93" si="39">$B93</f>
        <v>3330</v>
      </c>
      <c r="E93" s="11">
        <f t="shared" si="39"/>
        <v>3330</v>
      </c>
      <c r="F93" s="11">
        <f t="shared" si="39"/>
        <v>3330</v>
      </c>
      <c r="G93" s="11">
        <f t="shared" si="39"/>
        <v>3330</v>
      </c>
      <c r="H93" s="11">
        <f t="shared" si="39"/>
        <v>3330</v>
      </c>
      <c r="I93" s="11">
        <f t="shared" si="39"/>
        <v>3330</v>
      </c>
      <c r="J93" s="11">
        <f t="shared" si="39"/>
        <v>3330</v>
      </c>
      <c r="K93" s="11">
        <f t="shared" si="39"/>
        <v>3330</v>
      </c>
      <c r="L93" s="11">
        <f t="shared" si="39"/>
        <v>3330</v>
      </c>
      <c r="M93" s="11">
        <f t="shared" si="39"/>
        <v>3330</v>
      </c>
      <c r="N93" s="11">
        <f t="shared" si="39"/>
        <v>3330</v>
      </c>
      <c r="O93" s="11">
        <f t="shared" si="39"/>
        <v>3330</v>
      </c>
      <c r="P93" s="11" t="str">
        <f>'System Parameters'!O10</f>
        <v/>
      </c>
      <c r="Q93" s="11" t="str">
        <f>'System Parameters'!P10</f>
        <v/>
      </c>
      <c r="R93" s="11" t="str">
        <f>'System Parameters'!Q11</f>
        <v/>
      </c>
      <c r="S93" s="11" t="str">
        <f>'System Parameters'!I38</f>
        <v/>
      </c>
      <c r="T93" s="11" t="str">
        <f>'System Parameters'!J49</f>
        <v/>
      </c>
      <c r="U93" s="11" t="str">
        <f>'System Parameters'!K49</f>
        <v/>
      </c>
      <c r="V93" s="11" t="str">
        <f>'System Parameters'!L49</f>
        <v/>
      </c>
    </row>
    <row r="94" ht="15.75" customHeight="1">
      <c r="A94" s="11" t="str">
        <f>'System Parameters'!L11</f>
        <v/>
      </c>
      <c r="B94" s="11" t="str">
        <f>'System Parameters'!M11</f>
        <v/>
      </c>
      <c r="C94" s="11" t="str">
        <f>'System Parameters'!N11</f>
        <v/>
      </c>
      <c r="D94" s="11" t="str">
        <f>'System Parameters'!O11</f>
        <v/>
      </c>
      <c r="E94" s="11" t="str">
        <f>'System Parameters'!P11</f>
        <v/>
      </c>
      <c r="F94" s="11" t="str">
        <f>'System Parameters'!Q12</f>
        <v/>
      </c>
      <c r="G94" s="11" t="str">
        <f>'System Parameters'!I39</f>
        <v/>
      </c>
      <c r="H94" s="11" t="str">
        <f>'System Parameters'!J50</f>
        <v/>
      </c>
      <c r="I94" s="11" t="str">
        <f>'System Parameters'!K50</f>
        <v/>
      </c>
      <c r="J94" s="11" t="str">
        <f>'System Parameters'!#REF!</f>
        <v>#ERROR!</v>
      </c>
      <c r="K94" s="11" t="str">
        <f>'System Parameters'!#REF!</f>
        <v>#ERROR!</v>
      </c>
      <c r="L94" s="11" t="str">
        <f>'System Parameters'!#REF!</f>
        <v>#ERROR!</v>
      </c>
      <c r="M94" s="11" t="str">
        <f>'System Parameters'!#REF!</f>
        <v>#ERROR!</v>
      </c>
      <c r="N94" s="11" t="str">
        <f>'System Parameters'!#REF!</f>
        <v>#ERROR!</v>
      </c>
      <c r="O94" s="11" t="str">
        <f>'System Parameters'!#REF!</f>
        <v>#ERROR!</v>
      </c>
      <c r="P94" s="11" t="str">
        <f>'System Parameters'!O11</f>
        <v/>
      </c>
      <c r="Q94" s="11" t="str">
        <f>'System Parameters'!P11</f>
        <v/>
      </c>
      <c r="R94" s="11" t="str">
        <f>'System Parameters'!Q12</f>
        <v/>
      </c>
      <c r="S94" s="11" t="str">
        <f>'System Parameters'!I39</f>
        <v/>
      </c>
      <c r="T94" s="11" t="str">
        <f>'System Parameters'!J50</f>
        <v/>
      </c>
      <c r="U94" s="11" t="str">
        <f>'System Parameters'!K50</f>
        <v/>
      </c>
      <c r="V94" s="11" t="str">
        <f>'System Parameters'!#REF!</f>
        <v>#ERROR!</v>
      </c>
    </row>
    <row r="95" ht="15.75" customHeight="1">
      <c r="A95" s="11" t="str">
        <f>'System Parameters'!L12</f>
        <v>Days of Use</v>
      </c>
      <c r="B95" s="11" t="str">
        <f>B93/($T78*B88+$U78*B89+$V78*B90)</f>
        <v>#ERROR!</v>
      </c>
      <c r="C95" s="11" t="str">
        <f>'System Parameters'!N12</f>
        <v>days</v>
      </c>
      <c r="D95" s="11" t="str">
        <f t="shared" ref="D95:O95" si="40">D93/($T78*D88+$U78*D89+$V78*D90)</f>
        <v>#ERROR!</v>
      </c>
      <c r="E95" s="11" t="str">
        <f t="shared" si="40"/>
        <v>#ERROR!</v>
      </c>
      <c r="F95" s="11" t="str">
        <f t="shared" si="40"/>
        <v>#ERROR!</v>
      </c>
      <c r="G95" s="11" t="str">
        <f t="shared" si="40"/>
        <v>#ERROR!</v>
      </c>
      <c r="H95" s="11" t="str">
        <f t="shared" si="40"/>
        <v>#ERROR!</v>
      </c>
      <c r="I95" s="11" t="str">
        <f t="shared" si="40"/>
        <v>#ERROR!</v>
      </c>
      <c r="J95" s="11" t="str">
        <f t="shared" si="40"/>
        <v>#ERROR!</v>
      </c>
      <c r="K95" s="11" t="str">
        <f t="shared" si="40"/>
        <v>#ERROR!</v>
      </c>
      <c r="L95" s="11" t="str">
        <f t="shared" si="40"/>
        <v>#ERROR!</v>
      </c>
      <c r="M95" s="11" t="str">
        <f t="shared" si="40"/>
        <v>#ERROR!</v>
      </c>
      <c r="N95" s="11" t="str">
        <f t="shared" si="40"/>
        <v>#ERROR!</v>
      </c>
      <c r="O95" s="11" t="str">
        <f t="shared" si="40"/>
        <v>#ERROR!</v>
      </c>
      <c r="P95" s="11" t="str">
        <f>'System Parameters'!O12</f>
        <v/>
      </c>
      <c r="Q95" s="11" t="str">
        <f>'System Parameters'!P12</f>
        <v/>
      </c>
      <c r="R95" s="11" t="str">
        <f>'System Parameters'!Q13</f>
        <v/>
      </c>
      <c r="S95" s="11" t="str">
        <f>'System Parameters'!I40</f>
        <v/>
      </c>
      <c r="T95" s="11" t="str">
        <f>'System Parameters'!J51</f>
        <v/>
      </c>
      <c r="U95" s="11" t="str">
        <f>'System Parameters'!K51</f>
        <v/>
      </c>
      <c r="V95" s="11" t="str">
        <f>'System Parameters'!#REF!</f>
        <v>#ERROR!</v>
      </c>
    </row>
    <row r="96" ht="15.75" customHeight="1">
      <c r="A96" s="11" t="str">
        <f>'System Parameters'!L13</f>
        <v>Hours of Use</v>
      </c>
      <c r="B96" s="11" t="str">
        <f>B95*24</f>
        <v>#ERROR!</v>
      </c>
      <c r="C96" s="11" t="str">
        <f>'System Parameters'!N13</f>
        <v>hours</v>
      </c>
      <c r="D96" s="11" t="str">
        <f t="shared" ref="D96:O96" si="41">D95*24</f>
        <v>#ERROR!</v>
      </c>
      <c r="E96" s="11" t="str">
        <f t="shared" si="41"/>
        <v>#ERROR!</v>
      </c>
      <c r="F96" s="11" t="str">
        <f t="shared" si="41"/>
        <v>#ERROR!</v>
      </c>
      <c r="G96" s="11" t="str">
        <f t="shared" si="41"/>
        <v>#ERROR!</v>
      </c>
      <c r="H96" s="11" t="str">
        <f t="shared" si="41"/>
        <v>#ERROR!</v>
      </c>
      <c r="I96" s="11" t="str">
        <f t="shared" si="41"/>
        <v>#ERROR!</v>
      </c>
      <c r="J96" s="11" t="str">
        <f t="shared" si="41"/>
        <v>#ERROR!</v>
      </c>
      <c r="K96" s="11" t="str">
        <f t="shared" si="41"/>
        <v>#ERROR!</v>
      </c>
      <c r="L96" s="11" t="str">
        <f t="shared" si="41"/>
        <v>#ERROR!</v>
      </c>
      <c r="M96" s="11" t="str">
        <f t="shared" si="41"/>
        <v>#ERROR!</v>
      </c>
      <c r="N96" s="11" t="str">
        <f t="shared" si="41"/>
        <v>#ERROR!</v>
      </c>
      <c r="O96" s="11" t="str">
        <f t="shared" si="41"/>
        <v>#ERROR!</v>
      </c>
      <c r="P96" s="11" t="str">
        <f>'System Parameters'!O13</f>
        <v/>
      </c>
      <c r="Q96" s="11" t="str">
        <f>'System Parameters'!P13</f>
        <v/>
      </c>
      <c r="R96" s="11" t="str">
        <f>'System Parameters'!Q18</f>
        <v/>
      </c>
      <c r="S96" s="11" t="str">
        <f>'System Parameters'!I41</f>
        <v/>
      </c>
      <c r="T96" s="11" t="str">
        <f>'System Parameters'!J52</f>
        <v/>
      </c>
      <c r="U96" s="11" t="str">
        <f>'System Parameters'!K52</f>
        <v/>
      </c>
      <c r="V96" s="11" t="str">
        <f>'System Parameters'!#REF!</f>
        <v>#ERROR!</v>
      </c>
    </row>
    <row r="97" ht="15.75" customHeight="1">
      <c r="A97" s="11" t="str">
        <f>'System Parameters'!A33</f>
        <v>Active</v>
      </c>
      <c r="B97" s="11" t="str">
        <f>'System Parameters'!K19</f>
        <v/>
      </c>
      <c r="C97" s="11" t="str">
        <f>'System Parameters'!L19</f>
        <v/>
      </c>
      <c r="D97" s="11" t="str">
        <f>'System Parameters'!M19</f>
        <v/>
      </c>
      <c r="O97" s="11" t="str">
        <f>'System Parameters'!N19</f>
        <v/>
      </c>
      <c r="P97" s="11" t="str">
        <f>'System Parameters'!O19</f>
        <v/>
      </c>
      <c r="Q97" s="11" t="str">
        <f>'System Parameters'!P19</f>
        <v/>
      </c>
      <c r="R97" s="11" t="str">
        <f>'System Parameters'!Q19</f>
        <v/>
      </c>
      <c r="S97" s="11" t="str">
        <f>'System Parameters'!I42</f>
        <v/>
      </c>
      <c r="T97" s="11" t="str">
        <f>'System Parameters'!J53</f>
        <v/>
      </c>
      <c r="U97" s="11" t="str">
        <f>'System Parameters'!K53</f>
        <v/>
      </c>
      <c r="V97" s="11" t="str">
        <f>'System Parameters'!L53</f>
        <v/>
      </c>
    </row>
    <row r="98" ht="15.75" customHeight="1">
      <c r="A98" s="11" t="s">
        <v>43</v>
      </c>
      <c r="B98" s="11" t="str">
        <f>'System Parameters'!K20</f>
        <v/>
      </c>
      <c r="C98" s="11" t="str">
        <f>'System Parameters'!L20</f>
        <v/>
      </c>
      <c r="D98" s="27" t="str">
        <f t="shared" ref="D98:O98" si="42">D96/$B96-1</f>
        <v>#ERROR!</v>
      </c>
      <c r="E98" s="27" t="str">
        <f t="shared" si="42"/>
        <v>#ERROR!</v>
      </c>
      <c r="F98" s="27" t="str">
        <f t="shared" si="42"/>
        <v>#ERROR!</v>
      </c>
      <c r="G98" s="27" t="str">
        <f t="shared" si="42"/>
        <v>#ERROR!</v>
      </c>
      <c r="H98" s="27" t="str">
        <f t="shared" si="42"/>
        <v>#ERROR!</v>
      </c>
      <c r="I98" s="27" t="str">
        <f t="shared" si="42"/>
        <v>#ERROR!</v>
      </c>
      <c r="J98" s="27" t="str">
        <f t="shared" si="42"/>
        <v>#ERROR!</v>
      </c>
      <c r="K98" s="27" t="str">
        <f t="shared" si="42"/>
        <v>#ERROR!</v>
      </c>
      <c r="L98" s="27" t="str">
        <f t="shared" si="42"/>
        <v>#ERROR!</v>
      </c>
      <c r="M98" s="27" t="str">
        <f t="shared" si="42"/>
        <v>#ERROR!</v>
      </c>
      <c r="N98" s="27" t="str">
        <f t="shared" si="42"/>
        <v>#ERROR!</v>
      </c>
      <c r="O98" s="27" t="str">
        <f t="shared" si="42"/>
        <v>#ERROR!</v>
      </c>
      <c r="P98" s="11" t="str">
        <f>'System Parameters'!O20</f>
        <v/>
      </c>
      <c r="Q98" s="11" t="str">
        <f>'System Parameters'!P20</f>
        <v/>
      </c>
      <c r="R98" s="11" t="str">
        <f>'System Parameters'!Q20</f>
        <v/>
      </c>
      <c r="S98" s="11" t="str">
        <f>'System Parameters'!I43</f>
        <v/>
      </c>
      <c r="T98" s="11" t="str">
        <f>'System Parameters'!J54</f>
        <v/>
      </c>
      <c r="U98" s="11" t="str">
        <f>'System Parameters'!K54</f>
        <v/>
      </c>
      <c r="V98" s="11" t="str">
        <f>'System Parameters'!L54</f>
        <v/>
      </c>
    </row>
    <row r="99" ht="15.75" customHeight="1">
      <c r="A99" s="11" t="s">
        <v>44</v>
      </c>
      <c r="B99" s="11" t="str">
        <f>'System Parameters'!K42</f>
        <v/>
      </c>
      <c r="C99" s="11" t="str">
        <f>'System Parameters'!L42</f>
        <v/>
      </c>
      <c r="D99" s="11" t="s">
        <v>45</v>
      </c>
      <c r="E99" s="11" t="s">
        <v>46</v>
      </c>
      <c r="F99" s="11" t="s">
        <v>47</v>
      </c>
      <c r="G99" s="11" t="s">
        <v>48</v>
      </c>
      <c r="H99" s="11" t="s">
        <v>49</v>
      </c>
      <c r="I99" s="11" t="s">
        <v>50</v>
      </c>
      <c r="J99" s="11" t="s">
        <v>51</v>
      </c>
      <c r="K99" s="11" t="s">
        <v>52</v>
      </c>
      <c r="L99" s="11" t="s">
        <v>53</v>
      </c>
      <c r="M99" s="11" t="s">
        <v>54</v>
      </c>
      <c r="N99" s="11" t="s">
        <v>55</v>
      </c>
      <c r="O99" s="11" t="s">
        <v>56</v>
      </c>
      <c r="P99" s="11" t="str">
        <f>'System Parameters'!O42</f>
        <v/>
      </c>
      <c r="Q99" s="11" t="str">
        <f>'System Parameters'!P42</f>
        <v/>
      </c>
      <c r="R99" s="11" t="str">
        <f>'System Parameters'!Q42</f>
        <v/>
      </c>
      <c r="S99" s="11" t="str">
        <f>'System Parameters'!I44</f>
        <v/>
      </c>
      <c r="T99" s="11" t="str">
        <f>'System Parameters'!J55</f>
        <v/>
      </c>
      <c r="U99" s="11" t="str">
        <f>'System Parameters'!K55</f>
        <v/>
      </c>
      <c r="V99" s="11" t="str">
        <f>'System Parameters'!L55</f>
        <v/>
      </c>
    </row>
    <row r="100" ht="15.75" customHeight="1">
      <c r="A100" s="11" t="str">
        <f>'System Parameters'!A36</f>
        <v/>
      </c>
      <c r="B100" s="11" t="str">
        <f>'System Parameters'!B36</f>
        <v/>
      </c>
      <c r="C100" s="11" t="str">
        <f>'System Parameters'!C36</f>
        <v/>
      </c>
      <c r="D100" s="11" t="str">
        <f>'System Parameters'!D36</f>
        <v/>
      </c>
      <c r="O100" s="11" t="str">
        <f>'System Parameters'!E36</f>
        <v/>
      </c>
      <c r="P100" s="11" t="str">
        <f>'System Parameters'!F36</f>
        <v/>
      </c>
      <c r="Q100" s="11" t="str">
        <f>'System Parameters'!G36</f>
        <v/>
      </c>
      <c r="R100" s="11" t="str">
        <f>'System Parameters'!H40</f>
        <v/>
      </c>
      <c r="S100" s="11" t="str">
        <f>'System Parameters'!I45</f>
        <v/>
      </c>
      <c r="T100" s="11" t="str">
        <f>'System Parameters'!J56</f>
        <v/>
      </c>
      <c r="U100" s="11" t="str">
        <f>'System Parameters'!K56</f>
        <v/>
      </c>
      <c r="V100" s="11" t="str">
        <f>'System Parameters'!L56</f>
        <v/>
      </c>
    </row>
    <row r="101" ht="15.75" customHeight="1">
      <c r="A101" s="11" t="str">
        <f>'System Parameters'!A37</f>
        <v/>
      </c>
      <c r="B101" s="11" t="str">
        <f>'System Parameters'!B37</f>
        <v/>
      </c>
      <c r="C101" s="11" t="str">
        <f>'System Parameters'!C37</f>
        <v/>
      </c>
      <c r="D101" s="11" t="str">
        <f>'System Parameters'!D37</f>
        <v/>
      </c>
      <c r="O101" s="11" t="str">
        <f>'System Parameters'!E37</f>
        <v/>
      </c>
      <c r="P101" s="11" t="str">
        <f>'System Parameters'!F37</f>
        <v/>
      </c>
      <c r="Q101" s="11" t="str">
        <f>'System Parameters'!G37</f>
        <v/>
      </c>
      <c r="R101" s="11" t="str">
        <f>'System Parameters'!H41</f>
        <v/>
      </c>
      <c r="S101" s="11" t="str">
        <f>'System Parameters'!I46</f>
        <v/>
      </c>
      <c r="T101" s="11" t="str">
        <f>'System Parameters'!J57</f>
        <v/>
      </c>
      <c r="U101" s="11" t="str">
        <f>'System Parameters'!K57</f>
        <v/>
      </c>
      <c r="V101" s="11" t="str">
        <f>'System Parameters'!L57</f>
        <v/>
      </c>
    </row>
    <row r="102" ht="15.75" customHeight="1">
      <c r="A102" s="11" t="str">
        <f>'System Parameters'!A38</f>
        <v>Sensor（VL53L0X）</v>
      </c>
      <c r="B102" s="19" t="str">
        <f>'System Parameters'!B38</f>
        <v/>
      </c>
      <c r="C102" s="11" t="str">
        <f>'System Parameters'!C38</f>
        <v/>
      </c>
      <c r="D102" s="11" t="str">
        <f>'System Parameters'!D38</f>
        <v/>
      </c>
      <c r="O102" s="11" t="str">
        <f>'System Parameters'!E38</f>
        <v/>
      </c>
      <c r="P102" s="11" t="str">
        <f>'System Parameters'!F38</f>
        <v/>
      </c>
      <c r="Q102" s="11" t="str">
        <f>'System Parameters'!G38</f>
        <v/>
      </c>
      <c r="R102" s="11" t="str">
        <f>'System Parameters'!H42</f>
        <v/>
      </c>
      <c r="S102" s="11" t="str">
        <f>'System Parameters'!I47</f>
        <v/>
      </c>
      <c r="T102" s="11" t="str">
        <f>'System Parameters'!J58</f>
        <v/>
      </c>
      <c r="U102" s="11" t="str">
        <f>'System Parameters'!K58</f>
        <v/>
      </c>
      <c r="V102" s="11" t="str">
        <f>'System Parameters'!L58</f>
        <v/>
      </c>
    </row>
    <row r="103" ht="15.75" customHeight="1">
      <c r="A103" s="11" t="str">
        <f>'System Parameters'!A39</f>
        <v>On</v>
      </c>
      <c r="B103" s="19">
        <f>'System Parameters'!B39</f>
        <v>60</v>
      </c>
      <c r="C103" s="11" t="str">
        <f>'System Parameters'!C39</f>
        <v>mW</v>
      </c>
      <c r="D103" s="11" t="str">
        <f>'System Parameters'!D39</f>
        <v/>
      </c>
      <c r="O103" s="26">
        <f>'System Parameters'!E39</f>
        <v>0</v>
      </c>
      <c r="P103" s="26">
        <f>'System Parameters'!F39</f>
        <v>0.8</v>
      </c>
      <c r="Q103" s="26">
        <f>'System Parameters'!G39</f>
        <v>0.8</v>
      </c>
      <c r="R103" s="11" t="str">
        <f>'System Parameters'!H43</f>
        <v/>
      </c>
      <c r="S103" s="11" t="str">
        <f>'System Parameters'!I48</f>
        <v/>
      </c>
      <c r="T103" s="11" t="str">
        <f>'System Parameters'!J59</f>
        <v/>
      </c>
      <c r="U103" s="11" t="str">
        <f>'System Parameters'!K59</f>
        <v/>
      </c>
      <c r="V103" s="11" t="str">
        <f>'System Parameters'!L59</f>
        <v/>
      </c>
    </row>
    <row r="104" ht="15.75" customHeight="1">
      <c r="A104" s="11" t="str">
        <f>'System Parameters'!A40</f>
        <v>Idle</v>
      </c>
      <c r="B104" s="19">
        <f>'System Parameters'!B40</f>
        <v>10</v>
      </c>
      <c r="C104" s="11" t="str">
        <f>'System Parameters'!C40</f>
        <v>mW</v>
      </c>
      <c r="D104" s="11" t="str">
        <f>'System Parameters'!D40</f>
        <v/>
      </c>
      <c r="O104" s="26">
        <f>'System Parameters'!E40</f>
        <v>0</v>
      </c>
      <c r="P104" s="26">
        <f>'System Parameters'!F40</f>
        <v>0.2</v>
      </c>
      <c r="Q104" s="26">
        <f>'System Parameters'!G40</f>
        <v>0.2</v>
      </c>
      <c r="R104" s="11" t="str">
        <f>'System Parameters'!H44</f>
        <v/>
      </c>
      <c r="S104" s="11" t="str">
        <f>'System Parameters'!I49</f>
        <v/>
      </c>
      <c r="T104" s="11" t="str">
        <f>'System Parameters'!J60</f>
        <v/>
      </c>
      <c r="U104" s="11" t="str">
        <f>'System Parameters'!K60</f>
        <v/>
      </c>
      <c r="V104" s="11" t="str">
        <f>'System Parameters'!L60</f>
        <v/>
      </c>
    </row>
    <row r="105" ht="15.75" customHeight="1">
      <c r="A105" s="11" t="str">
        <f>'System Parameters'!A41</f>
        <v>Off</v>
      </c>
      <c r="B105" s="19">
        <f>'System Parameters'!B41</f>
        <v>1.00045</v>
      </c>
      <c r="C105" s="11" t="str">
        <f>'System Parameters'!C41</f>
        <v>mW</v>
      </c>
      <c r="D105" s="11" t="str">
        <f>'System Parameters'!D41</f>
        <v/>
      </c>
      <c r="O105" s="26">
        <f>'System Parameters'!E41</f>
        <v>1</v>
      </c>
      <c r="P105" s="26">
        <f>'System Parameters'!F41</f>
        <v>0</v>
      </c>
      <c r="Q105" s="26">
        <f>'System Parameters'!G41</f>
        <v>0</v>
      </c>
      <c r="R105" s="11" t="str">
        <f>'System Parameters'!H45</f>
        <v/>
      </c>
      <c r="S105" s="11" t="str">
        <f>'System Parameters'!#REF!</f>
        <v>#ERROR!</v>
      </c>
      <c r="T105" s="11" t="str">
        <f>'System Parameters'!J61</f>
        <v/>
      </c>
      <c r="U105" s="11" t="str">
        <f>'System Parameters'!K61</f>
        <v/>
      </c>
      <c r="V105" s="11" t="str">
        <f>'System Parameters'!L61</f>
        <v/>
      </c>
    </row>
    <row r="106" ht="15.75" customHeight="1">
      <c r="A106" s="11" t="str">
        <f>'System Parameters'!A42</f>
        <v/>
      </c>
      <c r="B106" s="11" t="str">
        <f>'System Parameters'!B42</f>
        <v/>
      </c>
      <c r="C106" s="11" t="str">
        <f>'System Parameters'!C42</f>
        <v/>
      </c>
      <c r="D106" s="11" t="str">
        <f>'System Parameters'!D42</f>
        <v/>
      </c>
      <c r="O106" s="11" t="str">
        <f>'System Parameters'!E42</f>
        <v/>
      </c>
      <c r="P106" s="11" t="str">
        <f>'System Parameters'!F42</f>
        <v/>
      </c>
      <c r="Q106" s="11" t="str">
        <f>'System Parameters'!G42</f>
        <v/>
      </c>
      <c r="R106" s="11" t="str">
        <f>'System Parameters'!H46</f>
        <v/>
      </c>
      <c r="S106" s="11" t="str">
        <f>'System Parameters'!#REF!</f>
        <v>#ERROR!</v>
      </c>
      <c r="T106" s="11" t="str">
        <f>'System Parameters'!J62</f>
        <v/>
      </c>
      <c r="U106" s="11" t="str">
        <f>'System Parameters'!K62</f>
        <v/>
      </c>
      <c r="V106" s="11" t="str">
        <f>'System Parameters'!L62</f>
        <v/>
      </c>
    </row>
    <row r="107" ht="15.75" customHeight="1">
      <c r="A107" s="11" t="str">
        <f>'System Parameters'!A43</f>
        <v>Battery</v>
      </c>
      <c r="B107" s="11" t="str">
        <f>'System Parameters'!B43</f>
        <v/>
      </c>
      <c r="C107" s="11" t="str">
        <f>'System Parameters'!C43</f>
        <v/>
      </c>
      <c r="D107" s="11" t="str">
        <f>'System Parameters'!D43</f>
        <v/>
      </c>
      <c r="O107" s="11" t="str">
        <f>'System Parameters'!E43</f>
        <v/>
      </c>
      <c r="P107" s="11" t="str">
        <f>'System Parameters'!F43</f>
        <v/>
      </c>
      <c r="Q107" s="11" t="str">
        <f>'System Parameters'!G43</f>
        <v/>
      </c>
      <c r="R107" s="11" t="str">
        <f>'System Parameters'!H47</f>
        <v>hours/day typical usage</v>
      </c>
      <c r="S107" s="11" t="str">
        <f>'System Parameters'!#REF!</f>
        <v>#ERROR!</v>
      </c>
      <c r="T107" s="11" t="str">
        <f>'System Parameters'!J63</f>
        <v/>
      </c>
      <c r="U107" s="11" t="str">
        <f>'System Parameters'!K63</f>
        <v/>
      </c>
      <c r="V107" s="11" t="str">
        <f>'System Parameters'!L63</f>
        <v/>
      </c>
    </row>
    <row r="108" ht="15.75" customHeight="1">
      <c r="A108" s="11" t="str">
        <f>'System Parameters'!A44</f>
        <v>Capacity</v>
      </c>
      <c r="B108" s="19">
        <f>'System Parameters'!B44</f>
        <v>1000</v>
      </c>
      <c r="C108" s="11" t="str">
        <f>'System Parameters'!C44</f>
        <v>mAh</v>
      </c>
      <c r="D108" s="11" t="str">
        <f>'System Parameters'!D44</f>
        <v/>
      </c>
      <c r="O108" s="11" t="str">
        <f>'System Parameters'!E44</f>
        <v/>
      </c>
      <c r="P108" s="11" t="str">
        <f>'System Parameters'!F44</f>
        <v/>
      </c>
      <c r="Q108" s="11" t="str">
        <f>'System Parameters'!G44</f>
        <v/>
      </c>
      <c r="R108" s="11" t="str">
        <f>'System Parameters'!H48</f>
        <v/>
      </c>
      <c r="S108" s="11" t="str">
        <f>'System Parameters'!#REF!</f>
        <v>#ERROR!</v>
      </c>
      <c r="T108" s="11" t="str">
        <f>'System Parameters'!J64</f>
        <v/>
      </c>
      <c r="U108" s="11" t="str">
        <f>'System Parameters'!K64</f>
        <v/>
      </c>
      <c r="V108" s="11" t="str">
        <f>'System Parameters'!L64</f>
        <v/>
      </c>
    </row>
    <row r="109" ht="15.75" customHeight="1">
      <c r="A109" s="11" t="str">
        <f>'System Parameters'!A45</f>
        <v>Nominal Voltage</v>
      </c>
      <c r="B109" s="19">
        <f>'System Parameters'!B45</f>
        <v>3.7</v>
      </c>
      <c r="C109" s="11" t="str">
        <f>'System Parameters'!C45</f>
        <v>V</v>
      </c>
      <c r="D109" s="11" t="str">
        <f>'System Parameters'!D45</f>
        <v/>
      </c>
      <c r="O109" s="11" t="str">
        <f>'System Parameters'!E45</f>
        <v/>
      </c>
      <c r="P109" s="11" t="str">
        <f>'System Parameters'!F45</f>
        <v/>
      </c>
      <c r="Q109" s="11" t="str">
        <f>'System Parameters'!G45</f>
        <v/>
      </c>
      <c r="R109" s="11" t="str">
        <f>'System Parameters'!H49</f>
        <v/>
      </c>
      <c r="S109" s="11" t="str">
        <f>'System Parameters'!#REF!</f>
        <v>#ERROR!</v>
      </c>
      <c r="T109" s="11" t="str">
        <f>'System Parameters'!J65</f>
        <v/>
      </c>
      <c r="U109" s="11" t="str">
        <f>'System Parameters'!K65</f>
        <v/>
      </c>
      <c r="V109" s="11" t="str">
        <f>'System Parameters'!L65</f>
        <v/>
      </c>
    </row>
    <row r="110" ht="15.75" customHeight="1">
      <c r="A110" s="11" t="str">
        <f>'System Parameters'!A46</f>
        <v>Regulator Efficiency</v>
      </c>
      <c r="B110" s="26">
        <f>'System Parameters'!B46</f>
        <v>0.9</v>
      </c>
      <c r="C110" s="11" t="str">
        <f>'System Parameters'!C46</f>
        <v/>
      </c>
      <c r="D110" s="11" t="str">
        <f>'System Parameters'!D46</f>
        <v/>
      </c>
      <c r="O110" s="11" t="str">
        <f>'System Parameters'!E46</f>
        <v/>
      </c>
      <c r="P110" s="11" t="str">
        <f>'System Parameters'!F46</f>
        <v/>
      </c>
      <c r="Q110" s="11" t="str">
        <f>'System Parameters'!G46</f>
        <v/>
      </c>
      <c r="R110" s="11" t="str">
        <f>'System Parameters'!#REF!</f>
        <v>#ERROR!</v>
      </c>
      <c r="S110" s="11" t="str">
        <f>'System Parameters'!#REF!</f>
        <v>#ERROR!</v>
      </c>
      <c r="T110" s="11" t="str">
        <f>'System Parameters'!J66</f>
        <v/>
      </c>
      <c r="U110" s="11" t="str">
        <f>'System Parameters'!K66</f>
        <v/>
      </c>
      <c r="V110" s="11" t="str">
        <f>'System Parameters'!L66</f>
        <v/>
      </c>
    </row>
    <row r="111" ht="15.75" customHeight="1">
      <c r="A111" s="11" t="str">
        <f>'System Parameters'!A47</f>
        <v/>
      </c>
      <c r="B111" s="11" t="str">
        <f>'System Parameters'!B47</f>
        <v/>
      </c>
      <c r="C111" s="11" t="str">
        <f>'System Parameters'!C47</f>
        <v/>
      </c>
      <c r="D111" s="11" t="str">
        <f>'System Parameters'!D47</f>
        <v/>
      </c>
      <c r="O111" s="19">
        <f>'System Parameters'!E47</f>
        <v>16</v>
      </c>
      <c r="P111" s="19">
        <f>'System Parameters'!F47</f>
        <v>7</v>
      </c>
      <c r="Q111" s="19">
        <f>'System Parameters'!G47</f>
        <v>1</v>
      </c>
      <c r="R111" s="11" t="str">
        <f>'System Parameters'!#REF!</f>
        <v>#ERROR!</v>
      </c>
      <c r="S111" s="11" t="str">
        <f>'System Parameters'!I56</f>
        <v/>
      </c>
      <c r="T111" s="11" t="str">
        <f>'System Parameters'!J67</f>
        <v/>
      </c>
      <c r="U111" s="11" t="str">
        <f>'System Parameters'!K67</f>
        <v/>
      </c>
      <c r="V111" s="11" t="str">
        <f>'System Parameters'!L67</f>
        <v/>
      </c>
    </row>
    <row r="112" ht="15.75" customHeight="1">
      <c r="A112" s="11" t="str">
        <f>'System Parameters'!A48</f>
        <v/>
      </c>
      <c r="B112" s="11" t="str">
        <f>'System Parameters'!B48</f>
        <v/>
      </c>
      <c r="C112" s="11" t="str">
        <f>'System Parameters'!C48</f>
        <v/>
      </c>
      <c r="D112" s="11" t="str">
        <f>'System Parameters'!D48</f>
        <v/>
      </c>
      <c r="O112" s="11" t="str">
        <f>'System Parameters'!E48</f>
        <v/>
      </c>
      <c r="P112" s="11" t="str">
        <f>'System Parameters'!F48</f>
        <v/>
      </c>
      <c r="Q112" s="11" t="str">
        <f>'System Parameters'!G48</f>
        <v/>
      </c>
      <c r="R112" s="11" t="str">
        <f>'System Parameters'!#REF!</f>
        <v>#ERROR!</v>
      </c>
      <c r="S112" s="11" t="str">
        <f>'System Parameters'!I57</f>
        <v/>
      </c>
      <c r="T112" s="11" t="str">
        <f>'System Parameters'!J68</f>
        <v/>
      </c>
      <c r="U112" s="11" t="str">
        <f>'System Parameters'!K68</f>
        <v/>
      </c>
      <c r="V112" s="11" t="str">
        <f>'System Parameters'!L68</f>
        <v/>
      </c>
    </row>
    <row r="113" ht="15.75" customHeight="1">
      <c r="A113" s="11" t="str">
        <f>'System Parameters'!A49</f>
        <v/>
      </c>
      <c r="B113" s="11" t="str">
        <f>'System Parameters'!B49</f>
        <v/>
      </c>
      <c r="C113" s="11" t="str">
        <f>'System Parameters'!C49</f>
        <v/>
      </c>
      <c r="D113" s="11" t="str">
        <f>'System Parameters'!D49</f>
        <v/>
      </c>
      <c r="O113" s="11" t="str">
        <f>'System Parameters'!E49</f>
        <v/>
      </c>
      <c r="P113" s="11" t="str">
        <f>'System Parameters'!F49</f>
        <v/>
      </c>
      <c r="Q113" s="11" t="str">
        <f>'System Parameters'!G49</f>
        <v/>
      </c>
      <c r="R113" s="11" t="str">
        <f>'System Parameters'!#REF!</f>
        <v>#ERROR!</v>
      </c>
      <c r="S113" s="11" t="str">
        <f>'System Parameters'!I58</f>
        <v/>
      </c>
      <c r="T113" s="11" t="str">
        <f>'System Parameters'!J69</f>
        <v/>
      </c>
      <c r="U113" s="11" t="str">
        <f>'System Parameters'!K69</f>
        <v/>
      </c>
      <c r="V113" s="11" t="str">
        <f>'System Parameters'!L69</f>
        <v/>
      </c>
    </row>
    <row r="114" ht="15.75" customHeight="1">
      <c r="A114" s="11" t="str">
        <f>'System Parameters'!#REF!</f>
        <v>#ERROR!</v>
      </c>
      <c r="B114" s="11" t="str">
        <f>'System Parameters'!#REF!</f>
        <v>#ERROR!</v>
      </c>
      <c r="C114" s="11" t="str">
        <f>'System Parameters'!#REF!</f>
        <v>#ERROR!</v>
      </c>
      <c r="D114" s="11" t="str">
        <f>'System Parameters'!#REF!</f>
        <v>#ERROR!</v>
      </c>
      <c r="O114" s="11" t="str">
        <f>'System Parameters'!#REF!</f>
        <v>#ERROR!</v>
      </c>
      <c r="P114" s="11" t="str">
        <f>'System Parameters'!#REF!</f>
        <v>#ERROR!</v>
      </c>
      <c r="Q114" s="11" t="str">
        <f>'System Parameters'!#REF!</f>
        <v>#ERROR!</v>
      </c>
      <c r="R114" s="11" t="str">
        <f>'System Parameters'!#REF!</f>
        <v>#ERROR!</v>
      </c>
      <c r="S114" s="11" t="str">
        <f>'System Parameters'!I59</f>
        <v/>
      </c>
      <c r="T114" s="11" t="str">
        <f>'System Parameters'!J70</f>
        <v/>
      </c>
      <c r="U114" s="11" t="str">
        <f>'System Parameters'!K70</f>
        <v/>
      </c>
      <c r="V114" s="11" t="str">
        <f>'System Parameters'!L70</f>
        <v/>
      </c>
    </row>
    <row r="115" ht="15.75" customHeight="1">
      <c r="A115" s="11" t="str">
        <f>'System Parameters'!#REF!</f>
        <v>#ERROR!</v>
      </c>
      <c r="B115" s="11" t="str">
        <f>'System Parameters'!#REF!</f>
        <v>#ERROR!</v>
      </c>
      <c r="C115" s="11" t="str">
        <f>'System Parameters'!#REF!</f>
        <v>#ERROR!</v>
      </c>
      <c r="D115" s="11" t="str">
        <f>'System Parameters'!#REF!</f>
        <v>#ERROR!</v>
      </c>
      <c r="O115" s="11" t="str">
        <f>'System Parameters'!#REF!</f>
        <v>#ERROR!</v>
      </c>
      <c r="P115" s="11" t="str">
        <f>'System Parameters'!#REF!</f>
        <v>#ERROR!</v>
      </c>
      <c r="Q115" s="11" t="str">
        <f>'System Parameters'!#REF!</f>
        <v>#ERROR!</v>
      </c>
      <c r="R115" s="11" t="str">
        <f>'System Parameters'!#REF!</f>
        <v>#ERROR!</v>
      </c>
      <c r="S115" s="11" t="str">
        <f>'System Parameters'!I60</f>
        <v/>
      </c>
      <c r="T115" s="11" t="str">
        <f>'System Parameters'!J71</f>
        <v/>
      </c>
      <c r="U115" s="11" t="str">
        <f>'System Parameters'!K71</f>
        <v/>
      </c>
      <c r="V115" s="11" t="str">
        <f>'System Parameters'!L71</f>
        <v/>
      </c>
    </row>
    <row r="116" ht="15.75" customHeight="1">
      <c r="A116" s="11" t="str">
        <f>'System Parameters'!#REF!</f>
        <v>#ERROR!</v>
      </c>
      <c r="B116" s="11" t="str">
        <f>'System Parameters'!#REF!</f>
        <v>#ERROR!</v>
      </c>
      <c r="C116" s="11" t="str">
        <f>'System Parameters'!#REF!</f>
        <v>#ERROR!</v>
      </c>
      <c r="D116" s="11" t="str">
        <f>'System Parameters'!#REF!</f>
        <v>#ERROR!</v>
      </c>
      <c r="O116" s="11" t="str">
        <f>'System Parameters'!#REF!</f>
        <v>#ERROR!</v>
      </c>
      <c r="P116" s="11" t="str">
        <f>'System Parameters'!#REF!</f>
        <v>#ERROR!</v>
      </c>
      <c r="Q116" s="11" t="str">
        <f>'System Parameters'!#REF!</f>
        <v>#ERROR!</v>
      </c>
      <c r="R116" s="11" t="str">
        <f>'System Parameters'!H56</f>
        <v/>
      </c>
      <c r="S116" s="11" t="str">
        <f>'System Parameters'!I61</f>
        <v/>
      </c>
      <c r="T116" s="11" t="str">
        <f>'System Parameters'!J72</f>
        <v/>
      </c>
      <c r="U116" s="11" t="str">
        <f>'System Parameters'!K72</f>
        <v/>
      </c>
      <c r="V116" s="11" t="str">
        <f>'System Parameters'!L72</f>
        <v/>
      </c>
    </row>
    <row r="117" ht="15.75" customHeight="1">
      <c r="A117" s="11" t="str">
        <f>'System Parameters'!#REF!</f>
        <v>#ERROR!</v>
      </c>
      <c r="B117" s="11" t="str">
        <f>'System Parameters'!#REF!</f>
        <v>#ERROR!</v>
      </c>
      <c r="C117" s="11" t="str">
        <f>'System Parameters'!#REF!</f>
        <v>#ERROR!</v>
      </c>
      <c r="D117" s="11" t="str">
        <f>'System Parameters'!#REF!</f>
        <v>#ERROR!</v>
      </c>
      <c r="O117" s="11" t="str">
        <f>'System Parameters'!#REF!</f>
        <v>#ERROR!</v>
      </c>
      <c r="P117" s="11" t="str">
        <f>'System Parameters'!#REF!</f>
        <v>#ERROR!</v>
      </c>
      <c r="Q117" s="11" t="str">
        <f>'System Parameters'!#REF!</f>
        <v>#ERROR!</v>
      </c>
      <c r="R117" s="11" t="str">
        <f>'System Parameters'!H57</f>
        <v/>
      </c>
      <c r="S117" s="11" t="str">
        <f>'System Parameters'!I62</f>
        <v/>
      </c>
      <c r="T117" s="11" t="str">
        <f>'System Parameters'!J73</f>
        <v/>
      </c>
      <c r="U117" s="11" t="str">
        <f>'System Parameters'!K73</f>
        <v/>
      </c>
      <c r="V117" s="11" t="str">
        <f>'System Parameters'!L73</f>
        <v/>
      </c>
    </row>
    <row r="118" ht="15.75" customHeight="1">
      <c r="A118" s="11" t="str">
        <f>'System Parameters'!#REF!</f>
        <v>#ERROR!</v>
      </c>
      <c r="B118" s="11" t="str">
        <f>'System Parameters'!#REF!</f>
        <v>#ERROR!</v>
      </c>
      <c r="C118" s="11" t="str">
        <f>'System Parameters'!#REF!</f>
        <v>#ERROR!</v>
      </c>
      <c r="D118" s="11" t="str">
        <f>'System Parameters'!#REF!</f>
        <v>#ERROR!</v>
      </c>
      <c r="O118" s="11" t="str">
        <f>'System Parameters'!#REF!</f>
        <v>#ERROR!</v>
      </c>
      <c r="P118" s="11" t="str">
        <f>'System Parameters'!#REF!</f>
        <v>#ERROR!</v>
      </c>
      <c r="Q118" s="11" t="str">
        <f>'System Parameters'!#REF!</f>
        <v>#ERROR!</v>
      </c>
      <c r="R118" s="11" t="str">
        <f>'System Parameters'!H58</f>
        <v/>
      </c>
      <c r="S118" s="11" t="str">
        <f>'System Parameters'!I63</f>
        <v/>
      </c>
      <c r="T118" s="11" t="str">
        <f>'System Parameters'!J74</f>
        <v/>
      </c>
      <c r="U118" s="11" t="str">
        <f>'System Parameters'!K74</f>
        <v/>
      </c>
      <c r="V118" s="11" t="str">
        <f>'System Parameters'!L74</f>
        <v/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